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C" sheetId="1" r:id="rId4"/>
    <sheet state="visible" name="ERRORS" sheetId="2" r:id="rId5"/>
  </sheets>
  <definedNames/>
  <calcPr/>
</workbook>
</file>

<file path=xl/sharedStrings.xml><?xml version="1.0" encoding="utf-8"?>
<sst xmlns="http://schemas.openxmlformats.org/spreadsheetml/2006/main" count="243" uniqueCount="131">
  <si>
    <t>Opening</t>
  </si>
  <si>
    <t>Listening</t>
  </si>
  <si>
    <t>Ending</t>
  </si>
  <si>
    <t>Process</t>
  </si>
  <si>
    <t xml:space="preserve"> Critical Error Coefficient</t>
  </si>
  <si>
    <t>Critical Error</t>
  </si>
  <si>
    <t>Total</t>
  </si>
  <si>
    <t>SPEAKING</t>
  </si>
  <si>
    <t>Problem solving</t>
  </si>
  <si>
    <t xml:space="preserve">Date of check </t>
  </si>
  <si>
    <t>Date of check</t>
  </si>
  <si>
    <t>QC control</t>
  </si>
  <si>
    <t>Personnel Code</t>
  </si>
  <si>
    <t>Agent name</t>
  </si>
  <si>
    <t>Call type</t>
  </si>
  <si>
    <t>Date</t>
  </si>
  <si>
    <t>Time</t>
  </si>
  <si>
    <t>Voice Num</t>
  </si>
  <si>
    <t>Order code</t>
  </si>
  <si>
    <t>Greeting</t>
  </si>
  <si>
    <t xml:space="preserve">Introduction / Openinig Question  </t>
  </si>
  <si>
    <t>Speak clearly-O /Tone of voice-O</t>
  </si>
  <si>
    <t>Don't muting /holding</t>
  </si>
  <si>
    <t>Active listening</t>
  </si>
  <si>
    <t>Don't interruption</t>
  </si>
  <si>
    <t>tone of voice-L</t>
  </si>
  <si>
    <t>Don't long silence/muting</t>
  </si>
  <si>
    <t>Observance of etiquette /Don't holding without notifying</t>
  </si>
  <si>
    <t>Ask order code ( Use please )</t>
  </si>
  <si>
    <t>Saying customers name (At the beginning or during the conversation)</t>
  </si>
  <si>
    <t>Empathy</t>
  </si>
  <si>
    <t>Speak clearly-S/Tone of voice-S</t>
  </si>
  <si>
    <t>Observance of etiquette-S</t>
  </si>
  <si>
    <t>Don't holding / transfering with out notifying</t>
  </si>
  <si>
    <t>Thanks aftar holding</t>
  </si>
  <si>
    <t>Special condition statement</t>
  </si>
  <si>
    <t>summarizing &amp; Double Check Information</t>
  </si>
  <si>
    <t xml:space="preserve">Get the necessary, Relevant answer  </t>
  </si>
  <si>
    <t>relevant and sufficient information</t>
  </si>
  <si>
    <t>Provide correct information</t>
  </si>
  <si>
    <t>Explain the steps</t>
  </si>
  <si>
    <t>Query question</t>
  </si>
  <si>
    <t>Request to participate in the Survey</t>
  </si>
  <si>
    <t xml:space="preserve"> Bye</t>
  </si>
  <si>
    <t>Tone of voice-E /Speak clearly-E</t>
  </si>
  <si>
    <t>backoffice</t>
  </si>
  <si>
    <t>Proper and timely follow-up</t>
  </si>
  <si>
    <t>checking the documents</t>
  </si>
  <si>
    <t>1404-09-01</t>
  </si>
  <si>
    <t>Kimia</t>
  </si>
  <si>
    <t>Elnaz Ranjbar Fallah</t>
  </si>
  <si>
    <t>Nps</t>
  </si>
  <si>
    <t>09223071375</t>
  </si>
  <si>
    <t>305854239</t>
  </si>
  <si>
    <t>هیچ کدام</t>
  </si>
  <si>
    <t xml:space="preserve">نوع بیمه و نام شرکت اعلام نشد </t>
  </si>
  <si>
    <t>17:21:21</t>
  </si>
  <si>
    <t>Mahshid Ghasemnejad</t>
  </si>
  <si>
    <t xml:space="preserve"> 9:24:51</t>
  </si>
  <si>
    <t>Ava MashayekhiSardo</t>
  </si>
  <si>
    <t>Maral</t>
  </si>
  <si>
    <t>Fatemeh Bidaran</t>
  </si>
  <si>
    <t>Customer</t>
  </si>
  <si>
    <t>11:28:57</t>
  </si>
  <si>
    <t>09173169259</t>
  </si>
  <si>
    <t>قطع مکالمه یا هلد کردن بدون هماهنگی و درحین مکالمه با مشتری</t>
  </si>
  <si>
    <t xml:space="preserve">مشتری تماس گرفتن هیچ جوابی از سمت کارشناس نیست هیچ صحبتی ندارن و میوت کردن مشتری / کیفیت اینترنت تماس بررسی شد کیفیت بالا بوده مشکل اینترنتی نداشته </t>
  </si>
  <si>
    <t>Closed</t>
  </si>
  <si>
    <t>09030201055</t>
  </si>
  <si>
    <t>305909029</t>
  </si>
  <si>
    <t xml:space="preserve">فعالانه به صحبت مشتری گوش بدید با کلمات "بله " "درسته " همراهی کنید  تا مشتری متوجه حضورتون باشه / بررسی بالای 15 ثانیه هولد بشه مشتری </t>
  </si>
  <si>
    <t xml:space="preserve">مشتری باهمون شماره که تماس گرفتن سفارش ثبت کردن مجدد ازشون شماره گرفته شد / نام مشتری+ نوع و شرکت بیمه اعلام نشد // بگید &gt; بفرمایید / من &gt; بنده // جناب &gt; نام مشتری اعلام بشه / یه چند لحظه صب کنید &gt; چند لحظه صبوری بفرمایید / نه &gt; خیر </t>
  </si>
  <si>
    <t xml:space="preserve"> Unit</t>
  </si>
  <si>
    <t>Order Code</t>
  </si>
  <si>
    <t>level</t>
  </si>
  <si>
    <t>Date of Problem</t>
  </si>
  <si>
    <t>period</t>
  </si>
  <si>
    <t>Problem case</t>
  </si>
  <si>
    <t>Field</t>
  </si>
  <si>
    <t>Referral channel</t>
  </si>
  <si>
    <t>Description of the problem</t>
  </si>
  <si>
    <t>Recheck</t>
  </si>
  <si>
    <t>Trainer description</t>
  </si>
  <si>
    <t>Train</t>
  </si>
  <si>
    <t>Mohamad Amin Mahdian far</t>
  </si>
  <si>
    <t>tracking services day</t>
  </si>
  <si>
    <t>306026763</t>
  </si>
  <si>
    <t>Low</t>
  </si>
  <si>
    <t>1404-09-22</t>
  </si>
  <si>
    <t>1404-09-18</t>
  </si>
  <si>
    <t>آذر 1404</t>
  </si>
  <si>
    <t>اطلاعات بررسی نشده</t>
  </si>
  <si>
    <t>ثالث</t>
  </si>
  <si>
    <t>Ticket</t>
  </si>
  <si>
    <t xml:space="preserve">اطلاعات بررسی نشده///306026763 / تاریخچه پلاک فک نداشته
</t>
  </si>
  <si>
    <t xml:space="preserve">کیمیا/تایید /پلاک فک نشده با مشتری بررسی نشده </t>
  </si>
  <si>
    <t>Nima Hassanzadeh</t>
  </si>
  <si>
    <t>tracking services night</t>
  </si>
  <si>
    <t xml:space="preserve">اطلاعات بررسی نشده///306026763 / تاریخچه پلاک فک نداشته درصورتی که نماینده اعلام کرده بیمه جاری هست کارشناس پیگیری تایید دادن بابت انتقال تخفیفات
</t>
  </si>
  <si>
    <t xml:space="preserve">امین / عدم تایید تاریخ فک 18 ام بوده طبق تاریخچه پلاک در سفارش و کارشناس بعد از 18 ام ارجاع به نماینده دادن </t>
  </si>
  <si>
    <t>Ali Sina Motallebiafshar</t>
  </si>
  <si>
    <t>call center day</t>
  </si>
  <si>
    <t>304296675</t>
  </si>
  <si>
    <t>High</t>
  </si>
  <si>
    <t>1404-09-20</t>
  </si>
  <si>
    <t xml:space="preserve">ثبت تیکت اشتباه </t>
  </si>
  <si>
    <t>1349529 بابت بخشودگی دیرکرد بر خلاف اطلاع رسانی آموزش تیکت مشکلات ازکی وام پس از صدور ثبت کردن</t>
  </si>
  <si>
    <t xml:space="preserve">کیمیا /تایید عنوان تیکت اشتباه است </t>
  </si>
  <si>
    <t>Zohreh Alikhani</t>
  </si>
  <si>
    <t>101307756</t>
  </si>
  <si>
    <t>1404-09-19</t>
  </si>
  <si>
    <t>بدنه</t>
  </si>
  <si>
    <t>1347580 خارج از فلو تیکت با دسته بندی شکایت مشتری در تماس خروجی ثبت کردند</t>
  </si>
  <si>
    <t>Paniz Rashidi</t>
  </si>
  <si>
    <t>306207200</t>
  </si>
  <si>
    <t xml:space="preserve">ثبت تیکت اشتباه //1349695 / از سمت کارشناس پانیذ رشیدی تیکت بی مورد ثبت میشه
</t>
  </si>
  <si>
    <t>به دلیل گذشتن چند روز از ثبت باگ و موردی اعلام نشده تایید می باشد.</t>
  </si>
  <si>
    <t>Kiana Amiri</t>
  </si>
  <si>
    <t>303674452</t>
  </si>
  <si>
    <t>1349090 تمامی اقساط ثبت و تسویه شده کارشناس بابت عدم تسویه اقساط تیکت ثبت کردند</t>
  </si>
  <si>
    <t>پونه / تایید هستش  تیکت  اشتباه  ثبت  شده . مشتری 2 بار پرداخت کرده بودند .</t>
  </si>
  <si>
    <t>Fatemeh Kamali</t>
  </si>
  <si>
    <t>306235579</t>
  </si>
  <si>
    <t xml:space="preserve">سفارش بله روی  پلاک  ازاد تخفیف دارم  هستش //  استعلام گرفت نشده و لینک کارت ارسال شده </t>
  </si>
  <si>
    <t>Hanieh Gholipour Siahroudi</t>
  </si>
  <si>
    <t>306228311</t>
  </si>
  <si>
    <t>پیگیری انجام نشده</t>
  </si>
  <si>
    <t xml:space="preserve">پیگیری  دور  دوم تیکت ابطال  انجام نشده /// </t>
  </si>
  <si>
    <t>Mehrdad Mir</t>
  </si>
  <si>
    <t>306218124</t>
  </si>
  <si>
    <t>کیمیا/ با توجه به موردی که داخل شیت مشکلات با تایید سرپرست اعلام شده به اسم سرپرست تغییر پیدا کرد و تایید شد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</si>
</sst>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"/>
    <numFmt numFmtId="165" formatCode="h:mm:ss am/pm"/>
    <numFmt numFmtId="166" formatCode="yyyy-mm-dd"/>
    <numFmt numFmtId="167" formatCode="m/d/yyyy"/>
    <numFmt numFmtId="168" formatCode="yyyy&quot;-&quot;mm&quot;-&quot;dd"/>
  </numFmts>
  <fonts count="10">
    <font>
      <sz val="10.0"/>
      <color rgb="FF000000"/>
      <name val="Arial"/>
      <scheme val="minor"/>
    </font>
    <font>
      <color theme="1"/>
      <name val="Georgia"/>
    </font>
    <font>
      <b/>
      <sz val="11.0"/>
      <color theme="1"/>
      <name val="Tahoma"/>
    </font>
    <font/>
    <font>
      <b/>
      <sz val="11.0"/>
      <color rgb="FFFFFFFF"/>
      <name val="Tahoma"/>
    </font>
    <font>
      <b/>
      <sz val="8.0"/>
      <color rgb="FF000000"/>
      <name val="Tahoma"/>
    </font>
    <font>
      <b/>
      <i/>
      <sz val="8.0"/>
      <color rgb="FF000000"/>
      <name val="Tahoma"/>
    </font>
    <font>
      <b/>
      <sz val="8.0"/>
      <color theme="1"/>
      <name val="Tahoma"/>
    </font>
    <font>
      <sz val="11.0"/>
      <color theme="1"/>
      <name val="Arial"/>
    </font>
    <font>
      <color theme="1"/>
      <name val="Arial"/>
    </font>
  </fonts>
  <fills count="22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3F4350"/>
        <bgColor rgb="FF3F4350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  <fill>
      <patternFill patternType="solid">
        <fgColor rgb="FFDD7E6B"/>
        <bgColor rgb="FFDD7E6B"/>
      </patternFill>
    </fill>
    <fill>
      <patternFill patternType="solid">
        <fgColor rgb="FF6D9EEB"/>
        <bgColor rgb="FF6D9EEB"/>
      </patternFill>
    </fill>
    <fill>
      <patternFill patternType="solid">
        <fgColor rgb="FFFF0000"/>
        <bgColor rgb="FFFF0000"/>
      </patternFill>
    </fill>
    <fill>
      <patternFill patternType="solid">
        <fgColor rgb="FF4C1130"/>
        <bgColor rgb="FF4C1130"/>
      </patternFill>
    </fill>
    <fill>
      <patternFill patternType="solid">
        <fgColor rgb="FF93C47D"/>
        <bgColor rgb="FF93C47D"/>
      </patternFill>
    </fill>
    <fill>
      <patternFill patternType="solid">
        <fgColor rgb="FF666666"/>
        <bgColor rgb="FF666666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FFD9EAD3"/>
        <bgColor rgb="FFD9EAD3"/>
      </patternFill>
    </fill>
    <fill>
      <patternFill patternType="solid">
        <fgColor rgb="FFE6B8AF"/>
        <bgColor rgb="FFE6B8AF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C9DAF8"/>
        <bgColor rgb="FFC9DAF8"/>
      </patternFill>
    </fill>
    <fill>
      <patternFill patternType="solid">
        <fgColor rgb="FF9FC5E8"/>
        <bgColor rgb="FF9FC5E8"/>
      </patternFill>
    </fill>
    <fill>
      <patternFill patternType="solid">
        <fgColor rgb="FFE8F0FE"/>
        <bgColor rgb="FFE8F0FE"/>
      </patternFill>
    </fill>
  </fills>
  <borders count="9">
    <border/>
    <border>
      <right style="thick">
        <color rgb="FF000000"/>
      </right>
    </border>
    <border>
      <left style="thick">
        <color rgb="FF000000"/>
      </left>
    </border>
    <border>
      <left style="thick">
        <color rgb="FF000000"/>
      </left>
      <right style="thick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3" fontId="1" numFmtId="49" xfId="0" applyAlignment="1" applyFill="1" applyFont="1" applyNumberFormat="1">
      <alignment vertical="bottom"/>
    </xf>
    <xf borderId="1" fillId="2" fontId="1" numFmtId="0" xfId="0" applyBorder="1" applyFont="1"/>
    <xf borderId="2" fillId="4" fontId="2" numFmtId="0" xfId="0" applyAlignment="1" applyBorder="1" applyFill="1" applyFont="1">
      <alignment horizontal="center" shrinkToFit="0" wrapText="1"/>
    </xf>
    <xf borderId="2" fillId="5" fontId="2" numFmtId="3" xfId="0" applyAlignment="1" applyBorder="1" applyFill="1" applyFont="1" applyNumberFormat="1">
      <alignment horizontal="center" shrinkToFit="0" wrapText="1"/>
    </xf>
    <xf borderId="1" fillId="0" fontId="3" numFmtId="0" xfId="0" applyBorder="1" applyFont="1"/>
    <xf borderId="2" fillId="6" fontId="1" numFmtId="3" xfId="0" applyBorder="1" applyFill="1" applyFont="1" applyNumberFormat="1"/>
    <xf borderId="2" fillId="7" fontId="2" numFmtId="3" xfId="0" applyAlignment="1" applyBorder="1" applyFill="1" applyFont="1" applyNumberFormat="1">
      <alignment horizontal="center" shrinkToFit="0" wrapText="1"/>
    </xf>
    <xf borderId="0" fillId="8" fontId="2" numFmtId="3" xfId="0" applyAlignment="1" applyFill="1" applyFont="1" applyNumberFormat="1">
      <alignment horizontal="center" shrinkToFit="0" wrapText="1"/>
    </xf>
    <xf borderId="1" fillId="9" fontId="4" numFmtId="3" xfId="0" applyAlignment="1" applyBorder="1" applyFill="1" applyFont="1" applyNumberFormat="1">
      <alignment horizontal="center" shrinkToFit="0" wrapText="1"/>
    </xf>
    <xf borderId="3" fillId="9" fontId="4" numFmtId="3" xfId="0" applyAlignment="1" applyBorder="1" applyFont="1" applyNumberFormat="1">
      <alignment horizontal="center" shrinkToFit="0" wrapText="1"/>
    </xf>
    <xf borderId="1" fillId="10" fontId="4" numFmtId="0" xfId="0" applyAlignment="1" applyBorder="1" applyFill="1" applyFont="1">
      <alignment horizontal="center" shrinkToFit="0" wrapText="1"/>
    </xf>
    <xf borderId="2" fillId="0" fontId="3" numFmtId="0" xfId="0" applyBorder="1" applyFont="1"/>
    <xf borderId="2" fillId="11" fontId="2" numFmtId="3" xfId="0" applyAlignment="1" applyBorder="1" applyFill="1" applyFont="1" applyNumberFormat="1">
      <alignment horizontal="center"/>
    </xf>
    <xf borderId="0" fillId="11" fontId="2" numFmtId="3" xfId="0" applyAlignment="1" applyFont="1" applyNumberFormat="1">
      <alignment horizontal="center" shrinkToFit="0" wrapText="1"/>
    </xf>
    <xf borderId="4" fillId="0" fontId="3" numFmtId="0" xfId="0" applyBorder="1" applyFont="1"/>
    <xf borderId="0" fillId="12" fontId="4" numFmtId="0" xfId="0" applyAlignment="1" applyFill="1" applyFont="1">
      <alignment horizontal="center" shrinkToFit="0" wrapText="1"/>
    </xf>
    <xf borderId="0" fillId="12" fontId="4" numFmtId="164" xfId="0" applyAlignment="1" applyFont="1" applyNumberFormat="1">
      <alignment horizontal="center" shrinkToFit="0" wrapText="1"/>
    </xf>
    <xf borderId="0" fillId="12" fontId="4" numFmtId="0" xfId="0" applyAlignment="1" applyFont="1">
      <alignment horizontal="center" readingOrder="0" shrinkToFit="0" wrapText="1"/>
    </xf>
    <xf borderId="0" fillId="12" fontId="4" numFmtId="165" xfId="0" applyAlignment="1" applyFont="1" applyNumberFormat="1">
      <alignment horizontal="center" shrinkToFit="0" wrapText="1"/>
    </xf>
    <xf borderId="0" fillId="12" fontId="4" numFmtId="49" xfId="0" applyAlignment="1" applyFont="1" applyNumberFormat="1">
      <alignment horizontal="center" shrinkToFit="0" wrapText="1"/>
    </xf>
    <xf borderId="1" fillId="12" fontId="4" numFmtId="49" xfId="0" applyAlignment="1" applyBorder="1" applyFont="1" applyNumberFormat="1">
      <alignment horizontal="center" shrinkToFit="0" wrapText="1"/>
    </xf>
    <xf borderId="2" fillId="13" fontId="2" numFmtId="0" xfId="0" applyAlignment="1" applyBorder="1" applyFill="1" applyFont="1">
      <alignment horizontal="center" shrinkToFit="0" wrapText="1"/>
    </xf>
    <xf borderId="0" fillId="13" fontId="2" numFmtId="3" xfId="0" applyAlignment="1" applyFont="1" applyNumberFormat="1">
      <alignment horizontal="center" shrinkToFit="0" wrapText="1"/>
    </xf>
    <xf borderId="1" fillId="13" fontId="2" numFmtId="3" xfId="0" applyAlignment="1" applyBorder="1" applyFont="1" applyNumberFormat="1">
      <alignment horizontal="center" shrinkToFit="0" wrapText="1"/>
    </xf>
    <xf borderId="2" fillId="14" fontId="2" numFmtId="3" xfId="0" applyAlignment="1" applyBorder="1" applyFill="1" applyFont="1" applyNumberFormat="1">
      <alignment horizontal="center" shrinkToFit="0" wrapText="1"/>
    </xf>
    <xf borderId="0" fillId="14" fontId="2" numFmtId="3" xfId="0" applyAlignment="1" applyFont="1" applyNumberFormat="1">
      <alignment horizontal="center" shrinkToFit="0" wrapText="1"/>
    </xf>
    <xf borderId="1" fillId="14" fontId="2" numFmtId="3" xfId="0" applyAlignment="1" applyBorder="1" applyFont="1" applyNumberFormat="1">
      <alignment horizontal="center" shrinkToFit="0" wrapText="1"/>
    </xf>
    <xf borderId="2" fillId="15" fontId="2" numFmtId="3" xfId="0" applyAlignment="1" applyBorder="1" applyFill="1" applyFont="1" applyNumberFormat="1">
      <alignment horizontal="center" shrinkToFit="0" wrapText="1"/>
    </xf>
    <xf borderId="0" fillId="15" fontId="2" numFmtId="3" xfId="0" applyAlignment="1" applyFont="1" applyNumberFormat="1">
      <alignment horizontal="center" shrinkToFit="0" wrapText="1"/>
    </xf>
    <xf borderId="4" fillId="15" fontId="2" numFmtId="3" xfId="0" applyAlignment="1" applyBorder="1" applyFont="1" applyNumberFormat="1">
      <alignment horizontal="center" shrinkToFit="0" wrapText="1"/>
    </xf>
    <xf borderId="1" fillId="15" fontId="2" numFmtId="3" xfId="0" applyAlignment="1" applyBorder="1" applyFont="1" applyNumberFormat="1">
      <alignment horizontal="center" shrinkToFit="0" wrapText="1"/>
    </xf>
    <xf borderId="2" fillId="16" fontId="2" numFmtId="3" xfId="0" applyAlignment="1" applyBorder="1" applyFill="1" applyFont="1" applyNumberFormat="1">
      <alignment horizontal="center" shrinkToFit="0" wrapText="1"/>
    </xf>
    <xf borderId="0" fillId="16" fontId="2" numFmtId="3" xfId="0" applyAlignment="1" applyFont="1" applyNumberFormat="1">
      <alignment horizontal="center" shrinkToFit="0" wrapText="1"/>
    </xf>
    <xf borderId="1" fillId="16" fontId="2" numFmtId="3" xfId="0" applyAlignment="1" applyBorder="1" applyFont="1" applyNumberFormat="1">
      <alignment horizontal="center" shrinkToFit="0" wrapText="1"/>
    </xf>
    <xf borderId="0" fillId="17" fontId="2" numFmtId="3" xfId="0" applyAlignment="1" applyFill="1" applyFont="1" applyNumberFormat="1">
      <alignment horizontal="center" shrinkToFit="0" wrapText="1"/>
    </xf>
    <xf borderId="1" fillId="17" fontId="2" numFmtId="3" xfId="0" applyAlignment="1" applyBorder="1" applyFont="1" applyNumberFormat="1">
      <alignment horizontal="center" shrinkToFit="0" wrapText="1"/>
    </xf>
    <xf borderId="5" fillId="12" fontId="1" numFmtId="164" xfId="0" applyBorder="1" applyFont="1" applyNumberFormat="1"/>
    <xf borderId="5" fillId="12" fontId="1" numFmtId="0" xfId="0" applyBorder="1" applyFont="1"/>
    <xf borderId="6" fillId="12" fontId="1" numFmtId="164" xfId="0" applyBorder="1" applyFont="1" applyNumberFormat="1"/>
    <xf borderId="7" fillId="13" fontId="1" numFmtId="0" xfId="0" applyBorder="1" applyFont="1"/>
    <xf borderId="5" fillId="0" fontId="3" numFmtId="0" xfId="0" applyBorder="1" applyFont="1"/>
    <xf borderId="7" fillId="14" fontId="1" numFmtId="3" xfId="0" applyBorder="1" applyFont="1" applyNumberFormat="1"/>
    <xf borderId="6" fillId="0" fontId="3" numFmtId="0" xfId="0" applyBorder="1" applyFont="1"/>
    <xf borderId="7" fillId="15" fontId="1" numFmtId="3" xfId="0" applyBorder="1" applyFont="1" applyNumberFormat="1"/>
    <xf borderId="7" fillId="16" fontId="1" numFmtId="3" xfId="0" applyBorder="1" applyFont="1" applyNumberFormat="1"/>
    <xf borderId="5" fillId="17" fontId="1" numFmtId="3" xfId="0" applyBorder="1" applyFont="1" applyNumberFormat="1"/>
    <xf borderId="6" fillId="17" fontId="1" numFmtId="3" xfId="0" applyBorder="1" applyFont="1" applyNumberFormat="1"/>
    <xf borderId="8" fillId="9" fontId="1" numFmtId="3" xfId="0" applyBorder="1" applyFont="1" applyNumberFormat="1"/>
    <xf borderId="0" fillId="18" fontId="5" numFmtId="166" xfId="0" applyAlignment="1" applyFill="1" applyFont="1" applyNumberFormat="1">
      <alignment horizontal="center" shrinkToFit="0" wrapText="1"/>
    </xf>
    <xf borderId="0" fillId="18" fontId="5" numFmtId="0" xfId="0" applyAlignment="1" applyFont="1">
      <alignment horizontal="center" shrinkToFit="0" wrapText="1"/>
    </xf>
    <xf borderId="0" fillId="18" fontId="5" numFmtId="0" xfId="0" applyAlignment="1" applyFont="1">
      <alignment horizontal="center"/>
    </xf>
    <xf borderId="0" fillId="18" fontId="5" numFmtId="49" xfId="0" applyAlignment="1" applyFont="1" applyNumberFormat="1">
      <alignment horizontal="center"/>
    </xf>
    <xf borderId="0" fillId="18" fontId="5" numFmtId="167" xfId="0" applyAlignment="1" applyFont="1" applyNumberFormat="1">
      <alignment horizontal="center" shrinkToFit="0" wrapText="1"/>
    </xf>
    <xf borderId="0" fillId="18" fontId="5" numFmtId="21" xfId="0" applyAlignment="1" applyFont="1" applyNumberFormat="1">
      <alignment horizontal="center"/>
    </xf>
    <xf borderId="2" fillId="18" fontId="5" numFmtId="0" xfId="0" applyAlignment="1" applyBorder="1" applyFont="1">
      <alignment horizontal="center" shrinkToFit="0" wrapText="1"/>
    </xf>
    <xf borderId="0" fillId="18" fontId="6" numFmtId="0" xfId="0" applyAlignment="1" applyFont="1">
      <alignment horizontal="center" shrinkToFit="0" wrapText="1"/>
    </xf>
    <xf borderId="1" fillId="18" fontId="5" numFmtId="0" xfId="0" applyAlignment="1" applyBorder="1" applyFont="1">
      <alignment horizontal="center" shrinkToFit="0" wrapText="1"/>
    </xf>
    <xf borderId="4" fillId="18" fontId="5" numFmtId="0" xfId="0" applyAlignment="1" applyBorder="1" applyFont="1">
      <alignment horizontal="center" shrinkToFit="0" wrapText="1"/>
    </xf>
    <xf borderId="2" fillId="18" fontId="5" numFmtId="3" xfId="0" applyAlignment="1" applyBorder="1" applyFont="1" applyNumberFormat="1">
      <alignment horizontal="center" shrinkToFit="0" wrapText="1"/>
    </xf>
    <xf borderId="0" fillId="18" fontId="5" numFmtId="3" xfId="0" applyAlignment="1" applyFont="1" applyNumberFormat="1">
      <alignment horizontal="center" shrinkToFit="0" wrapText="1"/>
    </xf>
    <xf borderId="1" fillId="18" fontId="5" numFmtId="3" xfId="0" applyAlignment="1" applyBorder="1" applyFont="1" applyNumberFormat="1">
      <alignment horizontal="center" shrinkToFit="0" wrapText="1"/>
    </xf>
    <xf borderId="4" fillId="18" fontId="5" numFmtId="3" xfId="0" applyAlignment="1" applyBorder="1" applyFont="1" applyNumberFormat="1">
      <alignment horizontal="center" shrinkToFit="0" wrapText="1"/>
    </xf>
    <xf borderId="1" fillId="18" fontId="5" numFmtId="10" xfId="0" applyAlignment="1" applyBorder="1" applyFont="1" applyNumberFormat="1">
      <alignment horizontal="center" shrinkToFit="0" wrapText="1"/>
    </xf>
    <xf borderId="0" fillId="18" fontId="1" numFmtId="168" xfId="0" applyFont="1" applyNumberFormat="1"/>
    <xf borderId="0" fillId="18" fontId="1" numFmtId="49" xfId="0" applyFont="1" applyNumberFormat="1"/>
    <xf borderId="2" fillId="18" fontId="7" numFmtId="0" xfId="0" applyAlignment="1" applyBorder="1" applyFont="1">
      <alignment horizontal="center"/>
    </xf>
    <xf borderId="2" fillId="18" fontId="1" numFmtId="0" xfId="0" applyBorder="1" applyFont="1"/>
    <xf borderId="4" fillId="18" fontId="1" numFmtId="0" xfId="0" applyBorder="1" applyFont="1"/>
    <xf borderId="0" fillId="18" fontId="1" numFmtId="0" xfId="0" applyFont="1"/>
    <xf borderId="2" fillId="18" fontId="1" numFmtId="3" xfId="0" applyBorder="1" applyFont="1" applyNumberFormat="1"/>
    <xf borderId="0" fillId="18" fontId="1" numFmtId="3" xfId="0" applyFont="1" applyNumberFormat="1"/>
    <xf borderId="0" fillId="19" fontId="5" numFmtId="166" xfId="0" applyAlignment="1" applyFill="1" applyFont="1" applyNumberFormat="1">
      <alignment horizontal="center" shrinkToFit="0" wrapText="1"/>
    </xf>
    <xf borderId="0" fillId="19" fontId="5" numFmtId="0" xfId="0" applyAlignment="1" applyFont="1">
      <alignment horizontal="center" shrinkToFit="0" wrapText="1"/>
    </xf>
    <xf borderId="0" fillId="19" fontId="5" numFmtId="0" xfId="0" applyAlignment="1" applyFont="1">
      <alignment horizontal="center"/>
    </xf>
    <xf borderId="0" fillId="19" fontId="5" numFmtId="49" xfId="0" applyAlignment="1" applyFont="1" applyNumberFormat="1">
      <alignment horizontal="center"/>
    </xf>
    <xf borderId="0" fillId="19" fontId="5" numFmtId="167" xfId="0" applyAlignment="1" applyFont="1" applyNumberFormat="1">
      <alignment horizontal="center" shrinkToFit="0" wrapText="1"/>
    </xf>
    <xf borderId="2" fillId="19" fontId="5" numFmtId="0" xfId="0" applyAlignment="1" applyBorder="1" applyFont="1">
      <alignment horizontal="center" shrinkToFit="0" wrapText="1"/>
    </xf>
    <xf borderId="0" fillId="19" fontId="6" numFmtId="0" xfId="0" applyAlignment="1" applyFont="1">
      <alignment horizontal="center" shrinkToFit="0" wrapText="1"/>
    </xf>
    <xf borderId="1" fillId="19" fontId="5" numFmtId="0" xfId="0" applyAlignment="1" applyBorder="1" applyFont="1">
      <alignment horizontal="center" shrinkToFit="0" wrapText="1"/>
    </xf>
    <xf borderId="4" fillId="19" fontId="5" numFmtId="0" xfId="0" applyAlignment="1" applyBorder="1" applyFont="1">
      <alignment horizontal="center" shrinkToFit="0" wrapText="1"/>
    </xf>
    <xf borderId="2" fillId="19" fontId="5" numFmtId="3" xfId="0" applyAlignment="1" applyBorder="1" applyFont="1" applyNumberFormat="1">
      <alignment horizontal="center" shrinkToFit="0" wrapText="1"/>
    </xf>
    <xf borderId="0" fillId="19" fontId="5" numFmtId="3" xfId="0" applyAlignment="1" applyFont="1" applyNumberFormat="1">
      <alignment horizontal="center" shrinkToFit="0" wrapText="1"/>
    </xf>
    <xf borderId="1" fillId="19" fontId="5" numFmtId="3" xfId="0" applyAlignment="1" applyBorder="1" applyFont="1" applyNumberFormat="1">
      <alignment horizontal="center" shrinkToFit="0" wrapText="1"/>
    </xf>
    <xf borderId="4" fillId="19" fontId="5" numFmtId="3" xfId="0" applyAlignment="1" applyBorder="1" applyFont="1" applyNumberFormat="1">
      <alignment horizontal="center" shrinkToFit="0" wrapText="1"/>
    </xf>
    <xf borderId="1" fillId="19" fontId="5" numFmtId="10" xfId="0" applyAlignment="1" applyBorder="1" applyFont="1" applyNumberFormat="1">
      <alignment horizontal="center" shrinkToFit="0" wrapText="1"/>
    </xf>
    <xf borderId="0" fillId="19" fontId="1" numFmtId="168" xfId="0" applyFont="1" applyNumberFormat="1"/>
    <xf borderId="0" fillId="19" fontId="1" numFmtId="49" xfId="0" applyFont="1" applyNumberFormat="1"/>
    <xf borderId="0" fillId="19" fontId="1" numFmtId="0" xfId="0" applyFont="1"/>
    <xf borderId="2" fillId="19" fontId="1" numFmtId="0" xfId="0" applyBorder="1" applyFont="1"/>
    <xf borderId="4" fillId="19" fontId="1" numFmtId="0" xfId="0" applyBorder="1" applyFont="1"/>
    <xf borderId="2" fillId="19" fontId="1" numFmtId="3" xfId="0" applyBorder="1" applyFont="1" applyNumberFormat="1"/>
    <xf borderId="0" fillId="19" fontId="1" numFmtId="3" xfId="0" applyFont="1" applyNumberFormat="1"/>
    <xf borderId="0" fillId="19" fontId="5" numFmtId="21" xfId="0" applyAlignment="1" applyFont="1" applyNumberFormat="1">
      <alignment horizontal="center"/>
    </xf>
    <xf borderId="0" fillId="19" fontId="7" numFmtId="3" xfId="0" applyAlignment="1" applyFont="1" applyNumberFormat="1">
      <alignment horizontal="center"/>
    </xf>
    <xf borderId="0" fillId="20" fontId="8" numFmtId="0" xfId="0" applyAlignment="1" applyFill="1" applyFont="1">
      <alignment horizontal="center" shrinkToFit="0" wrapText="1"/>
    </xf>
    <xf borderId="0" fillId="20" fontId="8" numFmtId="0" xfId="0" applyAlignment="1" applyFont="1">
      <alignment horizontal="center" readingOrder="0" shrinkToFit="0" wrapText="1"/>
    </xf>
    <xf borderId="0" fillId="20" fontId="8" numFmtId="49" xfId="0" applyAlignment="1" applyFont="1" applyNumberFormat="1">
      <alignment horizontal="center" shrinkToFit="0" wrapText="1"/>
    </xf>
    <xf borderId="0" fillId="20" fontId="8" numFmtId="166" xfId="0" applyAlignment="1" applyFont="1" applyNumberFormat="1">
      <alignment horizontal="center" shrinkToFit="0" wrapText="1"/>
    </xf>
    <xf borderId="0" fillId="18" fontId="8" numFmtId="0" xfId="0" applyAlignment="1" applyFont="1">
      <alignment horizontal="center" shrinkToFit="0" wrapText="1"/>
    </xf>
    <xf borderId="0" fillId="18" fontId="8" numFmtId="49" xfId="0" applyAlignment="1" applyFont="1" applyNumberFormat="1">
      <alignment horizontal="center" shrinkToFit="0" wrapText="1"/>
    </xf>
    <xf borderId="0" fillId="18" fontId="8" numFmtId="166" xfId="0" applyAlignment="1" applyFont="1" applyNumberFormat="1">
      <alignment horizontal="center" shrinkToFit="0" wrapText="1"/>
    </xf>
    <xf borderId="0" fillId="21" fontId="8" numFmtId="0" xfId="0" applyAlignment="1" applyFill="1" applyFont="1">
      <alignment horizontal="center" shrinkToFit="0" wrapText="1"/>
    </xf>
    <xf borderId="0" fillId="21" fontId="8" numFmtId="49" xfId="0" applyAlignment="1" applyFont="1" applyNumberFormat="1">
      <alignment horizontal="center" shrinkToFit="0" wrapText="1"/>
    </xf>
    <xf borderId="0" fillId="21" fontId="8" numFmtId="166" xfId="0" applyAlignment="1" applyFont="1" applyNumberFormat="1">
      <alignment horizontal="center" shrinkToFit="0" wrapText="1"/>
    </xf>
    <xf borderId="0" fillId="21" fontId="9" numFmtId="0" xfId="0" applyAlignment="1" applyFont="1">
      <alignment shrinkToFit="0" wrapText="1"/>
    </xf>
    <xf borderId="0" fillId="18" fontId="9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E8F0FE"/>
          <bgColor rgb="FFE8F0FE"/>
        </patternFill>
      </fill>
      <border/>
    </dxf>
  </dxfs>
  <tableStyles count="1">
    <tableStyle count="3" pivot="0" name="ERROR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Q10" displayName="Table_1" name="Table_1" id="1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ERROR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1"/>
      <c r="G1" s="1"/>
      <c r="H1" s="1"/>
      <c r="I1" s="1"/>
      <c r="J1" s="3"/>
      <c r="K1" s="4" t="s">
        <v>0</v>
      </c>
      <c r="O1" s="5" t="s">
        <v>1</v>
      </c>
      <c r="S1" s="6"/>
      <c r="T1" s="7"/>
      <c r="AF1" s="6"/>
      <c r="AG1" s="8" t="s">
        <v>2</v>
      </c>
      <c r="AJ1" s="6"/>
      <c r="AK1" s="9" t="s">
        <v>3</v>
      </c>
      <c r="AN1" s="10" t="s">
        <v>4</v>
      </c>
      <c r="AO1" s="11" t="s">
        <v>5</v>
      </c>
      <c r="AP1" s="12" t="s">
        <v>6</v>
      </c>
    </row>
    <row r="2">
      <c r="A2" s="1"/>
      <c r="B2" s="1"/>
      <c r="C2" s="1"/>
      <c r="D2" s="1"/>
      <c r="E2" s="1"/>
      <c r="F2" s="1"/>
      <c r="G2" s="1"/>
      <c r="H2" s="1"/>
      <c r="I2" s="1"/>
      <c r="J2" s="3"/>
      <c r="K2" s="13"/>
      <c r="O2" s="13"/>
      <c r="S2" s="6"/>
      <c r="T2" s="14" t="s">
        <v>7</v>
      </c>
      <c r="AC2" s="15" t="s">
        <v>8</v>
      </c>
      <c r="AF2" s="6"/>
      <c r="AG2" s="13"/>
      <c r="AJ2" s="6"/>
      <c r="AN2" s="6"/>
      <c r="AO2" s="16"/>
      <c r="AP2" s="6"/>
    </row>
    <row r="3">
      <c r="A3" s="17" t="s">
        <v>9</v>
      </c>
      <c r="B3" s="18" t="s">
        <v>10</v>
      </c>
      <c r="C3" s="17" t="s">
        <v>11</v>
      </c>
      <c r="D3" s="19" t="s">
        <v>12</v>
      </c>
      <c r="E3" s="17" t="s">
        <v>13</v>
      </c>
      <c r="F3" s="17" t="s">
        <v>14</v>
      </c>
      <c r="G3" s="18" t="s">
        <v>15</v>
      </c>
      <c r="H3" s="20" t="s">
        <v>16</v>
      </c>
      <c r="I3" s="21" t="s">
        <v>17</v>
      </c>
      <c r="J3" s="22" t="s">
        <v>18</v>
      </c>
      <c r="K3" s="23" t="s">
        <v>19</v>
      </c>
      <c r="L3" s="24" t="s">
        <v>20</v>
      </c>
      <c r="M3" s="24" t="s">
        <v>21</v>
      </c>
      <c r="N3" s="25" t="s">
        <v>22</v>
      </c>
      <c r="O3" s="26" t="s">
        <v>23</v>
      </c>
      <c r="P3" s="27" t="s">
        <v>24</v>
      </c>
      <c r="Q3" s="27" t="s">
        <v>25</v>
      </c>
      <c r="R3" s="27" t="s">
        <v>26</v>
      </c>
      <c r="S3" s="28" t="s">
        <v>27</v>
      </c>
      <c r="T3" s="29" t="s">
        <v>28</v>
      </c>
      <c r="U3" s="30" t="s">
        <v>29</v>
      </c>
      <c r="V3" s="30" t="s">
        <v>30</v>
      </c>
      <c r="W3" s="30" t="s">
        <v>31</v>
      </c>
      <c r="X3" s="30" t="s">
        <v>32</v>
      </c>
      <c r="Y3" s="30" t="s">
        <v>33</v>
      </c>
      <c r="Z3" s="30" t="s">
        <v>34</v>
      </c>
      <c r="AA3" s="30" t="s">
        <v>35</v>
      </c>
      <c r="AB3" s="31" t="s">
        <v>36</v>
      </c>
      <c r="AC3" s="30" t="s">
        <v>37</v>
      </c>
      <c r="AD3" s="30" t="s">
        <v>38</v>
      </c>
      <c r="AE3" s="30" t="s">
        <v>39</v>
      </c>
      <c r="AF3" s="32" t="s">
        <v>40</v>
      </c>
      <c r="AG3" s="33" t="s">
        <v>41</v>
      </c>
      <c r="AH3" s="34" t="s">
        <v>42</v>
      </c>
      <c r="AI3" s="34" t="s">
        <v>43</v>
      </c>
      <c r="AJ3" s="35" t="s">
        <v>44</v>
      </c>
      <c r="AK3" s="36" t="s">
        <v>45</v>
      </c>
      <c r="AL3" s="36" t="s">
        <v>46</v>
      </c>
      <c r="AM3" s="37" t="s">
        <v>47</v>
      </c>
      <c r="AN3" s="6"/>
      <c r="AO3" s="16"/>
      <c r="AP3" s="6"/>
    </row>
    <row r="4">
      <c r="A4" s="38"/>
      <c r="B4" s="38"/>
      <c r="C4" s="39"/>
      <c r="D4" s="39"/>
      <c r="E4" s="39"/>
      <c r="F4" s="38"/>
      <c r="G4" s="38"/>
      <c r="H4" s="38"/>
      <c r="I4" s="38"/>
      <c r="J4" s="40"/>
      <c r="K4" s="41"/>
      <c r="L4" s="42"/>
      <c r="M4" s="42"/>
      <c r="N4" s="42"/>
      <c r="O4" s="43"/>
      <c r="P4" s="42"/>
      <c r="Q4" s="42"/>
      <c r="R4" s="42"/>
      <c r="S4" s="44"/>
      <c r="T4" s="45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4"/>
      <c r="AG4" s="46"/>
      <c r="AH4" s="42"/>
      <c r="AI4" s="42"/>
      <c r="AJ4" s="44"/>
      <c r="AK4" s="47"/>
      <c r="AL4" s="47"/>
      <c r="AM4" s="48"/>
      <c r="AN4" s="44"/>
      <c r="AO4" s="49"/>
      <c r="AP4" s="6"/>
    </row>
    <row r="5">
      <c r="A5" s="50">
        <v>45983.0</v>
      </c>
      <c r="B5" s="50" t="s">
        <v>48</v>
      </c>
      <c r="C5" s="51" t="s">
        <v>49</v>
      </c>
      <c r="D5" s="52">
        <v>1303.0</v>
      </c>
      <c r="E5" s="53" t="s">
        <v>50</v>
      </c>
      <c r="F5" s="51" t="s">
        <v>51</v>
      </c>
      <c r="G5" s="54">
        <v>45960.0</v>
      </c>
      <c r="H5" s="55">
        <v>0.7218634259259259</v>
      </c>
      <c r="I5" s="53" t="s">
        <v>52</v>
      </c>
      <c r="J5" s="53" t="s">
        <v>53</v>
      </c>
      <c r="K5" s="56">
        <v>1.0</v>
      </c>
      <c r="L5" s="51">
        <v>0.0</v>
      </c>
      <c r="M5" s="57">
        <v>1.0</v>
      </c>
      <c r="N5" s="58">
        <v>1.0</v>
      </c>
      <c r="O5" s="56">
        <v>1.0</v>
      </c>
      <c r="P5" s="51">
        <v>1.0</v>
      </c>
      <c r="Q5" s="51">
        <v>1.0</v>
      </c>
      <c r="R5" s="51">
        <v>1.0</v>
      </c>
      <c r="S5" s="51">
        <v>1.0</v>
      </c>
      <c r="T5" s="56">
        <v>1.0</v>
      </c>
      <c r="U5" s="51">
        <v>1.0</v>
      </c>
      <c r="V5" s="51">
        <v>1.0</v>
      </c>
      <c r="W5" s="51">
        <v>1.0</v>
      </c>
      <c r="X5" s="51">
        <v>1.0</v>
      </c>
      <c r="Y5" s="51">
        <v>1.0</v>
      </c>
      <c r="Z5" s="51">
        <v>1.0</v>
      </c>
      <c r="AA5" s="51">
        <v>1.0</v>
      </c>
      <c r="AB5" s="59">
        <v>1.0</v>
      </c>
      <c r="AC5" s="51">
        <v>1.0</v>
      </c>
      <c r="AD5" s="51">
        <v>1.0</v>
      </c>
      <c r="AE5" s="51">
        <v>1.0</v>
      </c>
      <c r="AF5" s="58">
        <v>1.0</v>
      </c>
      <c r="AG5" s="60">
        <v>1.0</v>
      </c>
      <c r="AH5" s="61">
        <v>1.0</v>
      </c>
      <c r="AI5" s="61">
        <v>1.0</v>
      </c>
      <c r="AJ5" s="62">
        <v>1.0</v>
      </c>
      <c r="AK5" s="60">
        <v>1.0</v>
      </c>
      <c r="AL5" s="61">
        <v>1.0</v>
      </c>
      <c r="AM5" s="62">
        <v>1.0</v>
      </c>
      <c r="AN5" s="61">
        <v>1.0</v>
      </c>
      <c r="AO5" s="63" t="s">
        <v>54</v>
      </c>
      <c r="AP5" s="64">
        <f>(SUM(K5:AM5)*AN5)/29</f>
        <v>0.9655172414</v>
      </c>
    </row>
    <row r="6">
      <c r="A6" s="50">
        <v>45983.0</v>
      </c>
      <c r="B6" s="65"/>
      <c r="C6" s="51" t="s">
        <v>49</v>
      </c>
      <c r="D6" s="52">
        <v>1303.0</v>
      </c>
      <c r="E6" s="53" t="s">
        <v>50</v>
      </c>
      <c r="F6" s="51" t="s">
        <v>51</v>
      </c>
      <c r="G6" s="65"/>
      <c r="H6" s="66"/>
      <c r="I6" s="66"/>
      <c r="J6" s="66"/>
      <c r="K6" s="67" t="s">
        <v>55</v>
      </c>
      <c r="N6" s="6"/>
      <c r="O6" s="68"/>
      <c r="T6" s="68"/>
      <c r="AB6" s="69"/>
      <c r="AC6" s="70"/>
      <c r="AF6" s="6"/>
      <c r="AG6" s="71"/>
      <c r="AJ6" s="6"/>
      <c r="AK6" s="71"/>
      <c r="AM6" s="6"/>
      <c r="AN6" s="72"/>
      <c r="AO6" s="16"/>
      <c r="AP6" s="6"/>
    </row>
    <row r="7">
      <c r="A7" s="73">
        <v>45983.0</v>
      </c>
      <c r="B7" s="73" t="s">
        <v>48</v>
      </c>
      <c r="C7" s="74" t="s">
        <v>49</v>
      </c>
      <c r="D7" s="75">
        <v>1303.0</v>
      </c>
      <c r="E7" s="76" t="s">
        <v>50</v>
      </c>
      <c r="F7" s="74" t="s">
        <v>51</v>
      </c>
      <c r="G7" s="77">
        <v>45960.0</v>
      </c>
      <c r="H7" s="76" t="s">
        <v>56</v>
      </c>
      <c r="I7" s="76" t="s">
        <v>52</v>
      </c>
      <c r="J7" s="75">
        <v>3.05854239E8</v>
      </c>
      <c r="K7" s="78">
        <v>1.0</v>
      </c>
      <c r="L7" s="74">
        <v>1.0</v>
      </c>
      <c r="M7" s="79">
        <v>1.0</v>
      </c>
      <c r="N7" s="80">
        <v>1.0</v>
      </c>
      <c r="O7" s="78">
        <v>1.0</v>
      </c>
      <c r="P7" s="74">
        <v>1.0</v>
      </c>
      <c r="Q7" s="74">
        <v>1.0</v>
      </c>
      <c r="R7" s="74">
        <v>1.0</v>
      </c>
      <c r="S7" s="74">
        <v>1.0</v>
      </c>
      <c r="T7" s="78">
        <v>1.0</v>
      </c>
      <c r="U7" s="74">
        <v>1.0</v>
      </c>
      <c r="V7" s="74">
        <v>1.0</v>
      </c>
      <c r="W7" s="74">
        <v>1.0</v>
      </c>
      <c r="X7" s="74">
        <v>1.0</v>
      </c>
      <c r="Y7" s="74">
        <v>1.0</v>
      </c>
      <c r="Z7" s="74">
        <v>1.0</v>
      </c>
      <c r="AA7" s="74">
        <v>1.0</v>
      </c>
      <c r="AB7" s="81">
        <v>1.0</v>
      </c>
      <c r="AC7" s="74">
        <v>1.0</v>
      </c>
      <c r="AD7" s="74">
        <v>1.0</v>
      </c>
      <c r="AE7" s="74">
        <v>1.0</v>
      </c>
      <c r="AF7" s="80">
        <v>1.0</v>
      </c>
      <c r="AG7" s="82">
        <v>1.0</v>
      </c>
      <c r="AH7" s="83">
        <v>1.0</v>
      </c>
      <c r="AI7" s="83">
        <v>1.0</v>
      </c>
      <c r="AJ7" s="84">
        <v>1.0</v>
      </c>
      <c r="AK7" s="82">
        <v>1.0</v>
      </c>
      <c r="AL7" s="83">
        <v>1.0</v>
      </c>
      <c r="AM7" s="84">
        <v>1.0</v>
      </c>
      <c r="AN7" s="83">
        <v>1.0</v>
      </c>
      <c r="AO7" s="85" t="s">
        <v>54</v>
      </c>
      <c r="AP7" s="86">
        <f>(SUM(K7:AM7)*AN7)/29</f>
        <v>1</v>
      </c>
    </row>
    <row r="8">
      <c r="A8" s="73">
        <v>45983.0</v>
      </c>
      <c r="B8" s="87"/>
      <c r="C8" s="74" t="s">
        <v>49</v>
      </c>
      <c r="D8" s="75">
        <v>1303.0</v>
      </c>
      <c r="E8" s="76" t="s">
        <v>50</v>
      </c>
      <c r="F8" s="74" t="s">
        <v>51</v>
      </c>
      <c r="G8" s="87"/>
      <c r="H8" s="88"/>
      <c r="I8" s="88"/>
      <c r="J8" s="89"/>
      <c r="K8" s="90"/>
      <c r="N8" s="6"/>
      <c r="O8" s="90"/>
      <c r="T8" s="90"/>
      <c r="AB8" s="91"/>
      <c r="AC8" s="89"/>
      <c r="AF8" s="6"/>
      <c r="AG8" s="92"/>
      <c r="AJ8" s="6"/>
      <c r="AK8" s="92"/>
      <c r="AM8" s="6"/>
      <c r="AN8" s="93"/>
      <c r="AO8" s="16"/>
      <c r="AP8" s="6"/>
    </row>
    <row r="9">
      <c r="A9" s="50">
        <v>45983.0</v>
      </c>
      <c r="B9" s="50" t="s">
        <v>48</v>
      </c>
      <c r="C9" s="51" t="s">
        <v>49</v>
      </c>
      <c r="D9" s="52">
        <v>1344.0</v>
      </c>
      <c r="E9" s="53" t="s">
        <v>57</v>
      </c>
      <c r="F9" s="51" t="s">
        <v>51</v>
      </c>
      <c r="G9" s="54">
        <v>45961.0</v>
      </c>
      <c r="H9" s="53" t="s">
        <v>58</v>
      </c>
      <c r="I9" s="53" t="s">
        <v>52</v>
      </c>
      <c r="J9" s="53" t="s">
        <v>53</v>
      </c>
      <c r="K9" s="56">
        <v>1.0</v>
      </c>
      <c r="L9" s="51">
        <v>1.0</v>
      </c>
      <c r="M9" s="57">
        <v>1.0</v>
      </c>
      <c r="N9" s="58">
        <v>1.0</v>
      </c>
      <c r="O9" s="56">
        <v>1.0</v>
      </c>
      <c r="P9" s="51">
        <v>1.0</v>
      </c>
      <c r="Q9" s="51">
        <v>1.0</v>
      </c>
      <c r="R9" s="51">
        <v>1.0</v>
      </c>
      <c r="S9" s="51">
        <v>1.0</v>
      </c>
      <c r="T9" s="56">
        <v>1.0</v>
      </c>
      <c r="U9" s="51">
        <v>1.0</v>
      </c>
      <c r="V9" s="51">
        <v>1.0</v>
      </c>
      <c r="W9" s="51">
        <v>1.0</v>
      </c>
      <c r="X9" s="51">
        <v>1.0</v>
      </c>
      <c r="Y9" s="51">
        <v>1.0</v>
      </c>
      <c r="Z9" s="51">
        <v>1.0</v>
      </c>
      <c r="AA9" s="51">
        <v>1.0</v>
      </c>
      <c r="AB9" s="59">
        <v>1.0</v>
      </c>
      <c r="AC9" s="51">
        <v>1.0</v>
      </c>
      <c r="AD9" s="51">
        <v>1.0</v>
      </c>
      <c r="AE9" s="51">
        <v>1.0</v>
      </c>
      <c r="AF9" s="58">
        <v>1.0</v>
      </c>
      <c r="AG9" s="60">
        <v>1.0</v>
      </c>
      <c r="AH9" s="61">
        <v>1.0</v>
      </c>
      <c r="AI9" s="61">
        <v>1.0</v>
      </c>
      <c r="AJ9" s="62">
        <v>1.0</v>
      </c>
      <c r="AK9" s="60">
        <v>1.0</v>
      </c>
      <c r="AL9" s="61">
        <v>1.0</v>
      </c>
      <c r="AM9" s="62">
        <v>1.0</v>
      </c>
      <c r="AN9" s="61">
        <v>1.0</v>
      </c>
      <c r="AO9" s="63" t="s">
        <v>54</v>
      </c>
      <c r="AP9" s="64">
        <f>(SUM(K9:AM9)*AN9)/29</f>
        <v>1</v>
      </c>
    </row>
    <row r="10">
      <c r="A10" s="50">
        <v>45983.0</v>
      </c>
      <c r="B10" s="65"/>
      <c r="C10" s="51" t="s">
        <v>49</v>
      </c>
      <c r="D10" s="52">
        <v>1344.0</v>
      </c>
      <c r="E10" s="53" t="s">
        <v>57</v>
      </c>
      <c r="F10" s="51" t="s">
        <v>51</v>
      </c>
      <c r="G10" s="65"/>
      <c r="H10" s="66"/>
      <c r="I10" s="66"/>
      <c r="J10" s="70"/>
      <c r="K10" s="68"/>
      <c r="N10" s="6"/>
      <c r="O10" s="68"/>
      <c r="T10" s="68"/>
      <c r="AB10" s="69"/>
      <c r="AC10" s="70"/>
      <c r="AF10" s="6"/>
      <c r="AG10" s="71"/>
      <c r="AJ10" s="6"/>
      <c r="AK10" s="71"/>
      <c r="AM10" s="6"/>
      <c r="AN10" s="72"/>
      <c r="AO10" s="16"/>
      <c r="AP10" s="6"/>
    </row>
    <row r="11">
      <c r="A11" s="73">
        <v>45983.0</v>
      </c>
      <c r="B11" s="73" t="s">
        <v>48</v>
      </c>
      <c r="C11" s="74" t="s">
        <v>49</v>
      </c>
      <c r="D11" s="75">
        <v>1344.0</v>
      </c>
      <c r="E11" s="76" t="s">
        <v>57</v>
      </c>
      <c r="F11" s="74" t="s">
        <v>51</v>
      </c>
      <c r="G11" s="77">
        <v>45961.0</v>
      </c>
      <c r="H11" s="94">
        <v>0.39447916666666666</v>
      </c>
      <c r="I11" s="76" t="s">
        <v>52</v>
      </c>
      <c r="J11" s="76" t="s">
        <v>53</v>
      </c>
      <c r="K11" s="78">
        <v>1.0</v>
      </c>
      <c r="L11" s="74">
        <v>1.0</v>
      </c>
      <c r="M11" s="79">
        <v>1.0</v>
      </c>
      <c r="N11" s="80">
        <v>1.0</v>
      </c>
      <c r="O11" s="78">
        <v>1.0</v>
      </c>
      <c r="P11" s="74">
        <v>1.0</v>
      </c>
      <c r="Q11" s="74">
        <v>1.0</v>
      </c>
      <c r="R11" s="74">
        <v>1.0</v>
      </c>
      <c r="S11" s="74">
        <v>1.0</v>
      </c>
      <c r="T11" s="78">
        <v>1.0</v>
      </c>
      <c r="U11" s="74">
        <v>1.0</v>
      </c>
      <c r="V11" s="74">
        <v>1.0</v>
      </c>
      <c r="W11" s="74">
        <v>1.0</v>
      </c>
      <c r="X11" s="74">
        <v>1.0</v>
      </c>
      <c r="Y11" s="74">
        <v>1.0</v>
      </c>
      <c r="Z11" s="74">
        <v>1.0</v>
      </c>
      <c r="AA11" s="74">
        <v>1.0</v>
      </c>
      <c r="AB11" s="81">
        <v>1.0</v>
      </c>
      <c r="AC11" s="74">
        <v>1.0</v>
      </c>
      <c r="AD11" s="74">
        <v>1.0</v>
      </c>
      <c r="AE11" s="74">
        <v>1.0</v>
      </c>
      <c r="AF11" s="80">
        <v>1.0</v>
      </c>
      <c r="AG11" s="82">
        <v>1.0</v>
      </c>
      <c r="AH11" s="83">
        <v>1.0</v>
      </c>
      <c r="AI11" s="83">
        <v>1.0</v>
      </c>
      <c r="AJ11" s="84">
        <v>1.0</v>
      </c>
      <c r="AK11" s="82">
        <v>1.0</v>
      </c>
      <c r="AL11" s="83">
        <v>1.0</v>
      </c>
      <c r="AM11" s="84">
        <v>1.0</v>
      </c>
      <c r="AN11" s="83">
        <v>1.0</v>
      </c>
      <c r="AO11" s="85" t="s">
        <v>54</v>
      </c>
      <c r="AP11" s="86">
        <f>(SUM(K11:AM11)*AN11)/29</f>
        <v>1</v>
      </c>
    </row>
    <row r="12">
      <c r="A12" s="73">
        <v>45983.0</v>
      </c>
      <c r="B12" s="87"/>
      <c r="C12" s="74" t="s">
        <v>49</v>
      </c>
      <c r="D12" s="75">
        <v>1344.0</v>
      </c>
      <c r="E12" s="76" t="s">
        <v>57</v>
      </c>
      <c r="F12" s="74" t="s">
        <v>51</v>
      </c>
      <c r="G12" s="87"/>
      <c r="H12" s="88"/>
      <c r="I12" s="88"/>
      <c r="J12" s="88"/>
      <c r="K12" s="90"/>
      <c r="N12" s="6"/>
      <c r="O12" s="90"/>
      <c r="T12" s="90"/>
      <c r="AB12" s="91"/>
      <c r="AC12" s="89"/>
      <c r="AF12" s="6"/>
      <c r="AG12" s="92"/>
      <c r="AJ12" s="6"/>
      <c r="AK12" s="92"/>
      <c r="AM12" s="6"/>
      <c r="AN12" s="93"/>
      <c r="AO12" s="16"/>
      <c r="AP12" s="6"/>
    </row>
    <row r="13">
      <c r="A13" s="50">
        <v>45983.0</v>
      </c>
      <c r="B13" s="50" t="s">
        <v>48</v>
      </c>
      <c r="C13" s="51" t="s">
        <v>49</v>
      </c>
      <c r="D13" s="52">
        <v>1204.0</v>
      </c>
      <c r="E13" s="53" t="s">
        <v>59</v>
      </c>
      <c r="F13" s="51" t="s">
        <v>51</v>
      </c>
      <c r="G13" s="54">
        <v>45961.0</v>
      </c>
      <c r="H13" s="55">
        <v>0.8051041666666666</v>
      </c>
      <c r="I13" s="53" t="s">
        <v>52</v>
      </c>
      <c r="J13" s="53" t="s">
        <v>53</v>
      </c>
      <c r="K13" s="56">
        <v>1.0</v>
      </c>
      <c r="L13" s="51">
        <v>1.0</v>
      </c>
      <c r="M13" s="57">
        <v>1.0</v>
      </c>
      <c r="N13" s="58">
        <v>1.0</v>
      </c>
      <c r="O13" s="56">
        <v>1.0</v>
      </c>
      <c r="P13" s="51">
        <v>1.0</v>
      </c>
      <c r="Q13" s="51">
        <v>1.0</v>
      </c>
      <c r="R13" s="51">
        <v>1.0</v>
      </c>
      <c r="S13" s="51">
        <v>1.0</v>
      </c>
      <c r="T13" s="56">
        <v>1.0</v>
      </c>
      <c r="U13" s="51">
        <v>1.0</v>
      </c>
      <c r="V13" s="51">
        <v>1.0</v>
      </c>
      <c r="W13" s="51">
        <v>1.0</v>
      </c>
      <c r="X13" s="51">
        <v>1.0</v>
      </c>
      <c r="Y13" s="51">
        <v>1.0</v>
      </c>
      <c r="Z13" s="51">
        <v>1.0</v>
      </c>
      <c r="AA13" s="51">
        <v>1.0</v>
      </c>
      <c r="AB13" s="59">
        <v>1.0</v>
      </c>
      <c r="AC13" s="51">
        <v>1.0</v>
      </c>
      <c r="AD13" s="51">
        <v>1.0</v>
      </c>
      <c r="AE13" s="51">
        <v>1.0</v>
      </c>
      <c r="AF13" s="58">
        <v>1.0</v>
      </c>
      <c r="AG13" s="60">
        <v>1.0</v>
      </c>
      <c r="AH13" s="61">
        <v>1.0</v>
      </c>
      <c r="AI13" s="61">
        <v>1.0</v>
      </c>
      <c r="AJ13" s="62">
        <v>1.0</v>
      </c>
      <c r="AK13" s="60">
        <v>1.0</v>
      </c>
      <c r="AL13" s="61">
        <v>1.0</v>
      </c>
      <c r="AM13" s="62">
        <v>1.0</v>
      </c>
      <c r="AN13" s="61">
        <v>1.0</v>
      </c>
      <c r="AO13" s="63" t="s">
        <v>54</v>
      </c>
      <c r="AP13" s="64">
        <f>(SUM(K13:AM13)*AN13)/29</f>
        <v>1</v>
      </c>
    </row>
    <row r="14">
      <c r="A14" s="50">
        <v>45983.0</v>
      </c>
      <c r="B14" s="65"/>
      <c r="C14" s="51" t="s">
        <v>49</v>
      </c>
      <c r="D14" s="52">
        <v>1204.0</v>
      </c>
      <c r="E14" s="53" t="s">
        <v>59</v>
      </c>
      <c r="F14" s="51" t="s">
        <v>51</v>
      </c>
      <c r="G14" s="65"/>
      <c r="H14" s="66"/>
      <c r="I14" s="66"/>
      <c r="J14" s="66"/>
      <c r="K14" s="68"/>
      <c r="N14" s="6"/>
      <c r="O14" s="68"/>
      <c r="T14" s="68"/>
      <c r="AB14" s="69"/>
      <c r="AC14" s="70"/>
      <c r="AF14" s="6"/>
      <c r="AG14" s="71"/>
      <c r="AJ14" s="6"/>
      <c r="AK14" s="71"/>
      <c r="AM14" s="6"/>
      <c r="AN14" s="72"/>
      <c r="AO14" s="16"/>
      <c r="AP14" s="6"/>
    </row>
    <row r="15">
      <c r="A15" s="73">
        <v>45983.0</v>
      </c>
      <c r="B15" s="73" t="s">
        <v>48</v>
      </c>
      <c r="C15" s="74" t="s">
        <v>60</v>
      </c>
      <c r="D15" s="75">
        <v>1017.0</v>
      </c>
      <c r="E15" s="76" t="s">
        <v>61</v>
      </c>
      <c r="F15" s="74" t="s">
        <v>62</v>
      </c>
      <c r="G15" s="77">
        <v>45973.0</v>
      </c>
      <c r="H15" s="76" t="s">
        <v>63</v>
      </c>
      <c r="I15" s="76" t="s">
        <v>64</v>
      </c>
      <c r="J15" s="88"/>
      <c r="K15" s="78">
        <v>1.0</v>
      </c>
      <c r="L15" s="74">
        <v>1.0</v>
      </c>
      <c r="M15" s="79">
        <v>1.0</v>
      </c>
      <c r="N15" s="80">
        <v>1.0</v>
      </c>
      <c r="O15" s="78">
        <v>1.0</v>
      </c>
      <c r="P15" s="74">
        <v>1.0</v>
      </c>
      <c r="Q15" s="74">
        <v>1.0</v>
      </c>
      <c r="R15" s="74">
        <v>1.0</v>
      </c>
      <c r="S15" s="74">
        <v>1.0</v>
      </c>
      <c r="T15" s="78">
        <v>1.0</v>
      </c>
      <c r="U15" s="74">
        <v>1.0</v>
      </c>
      <c r="V15" s="74">
        <v>1.0</v>
      </c>
      <c r="W15" s="74">
        <v>1.0</v>
      </c>
      <c r="X15" s="74">
        <v>1.0</v>
      </c>
      <c r="Y15" s="74">
        <v>1.0</v>
      </c>
      <c r="Z15" s="74">
        <v>1.0</v>
      </c>
      <c r="AA15" s="74">
        <v>1.0</v>
      </c>
      <c r="AB15" s="81">
        <v>1.0</v>
      </c>
      <c r="AC15" s="74">
        <v>1.0</v>
      </c>
      <c r="AD15" s="74">
        <v>1.0</v>
      </c>
      <c r="AE15" s="74">
        <v>1.0</v>
      </c>
      <c r="AF15" s="80">
        <v>1.0</v>
      </c>
      <c r="AG15" s="82">
        <v>1.0</v>
      </c>
      <c r="AH15" s="83">
        <v>1.0</v>
      </c>
      <c r="AI15" s="83">
        <v>1.0</v>
      </c>
      <c r="AJ15" s="84">
        <v>1.0</v>
      </c>
      <c r="AK15" s="82">
        <v>1.0</v>
      </c>
      <c r="AL15" s="83">
        <v>1.0</v>
      </c>
      <c r="AM15" s="84">
        <v>1.0</v>
      </c>
      <c r="AN15" s="83">
        <v>0.0</v>
      </c>
      <c r="AO15" s="85" t="s">
        <v>65</v>
      </c>
      <c r="AP15" s="86">
        <f>(SUM(K15:AM15)*AN15)/29</f>
        <v>0</v>
      </c>
    </row>
    <row r="16">
      <c r="A16" s="73">
        <v>45983.0</v>
      </c>
      <c r="B16" s="87"/>
      <c r="C16" s="74" t="s">
        <v>60</v>
      </c>
      <c r="D16" s="75">
        <v>1017.0</v>
      </c>
      <c r="E16" s="76" t="s">
        <v>61</v>
      </c>
      <c r="F16" s="74" t="s">
        <v>62</v>
      </c>
      <c r="G16" s="87"/>
      <c r="H16" s="88"/>
      <c r="I16" s="88"/>
      <c r="J16" s="88"/>
      <c r="K16" s="90"/>
      <c r="N16" s="6"/>
      <c r="O16" s="90"/>
      <c r="T16" s="90"/>
      <c r="AB16" s="91"/>
      <c r="AC16" s="89"/>
      <c r="AF16" s="6"/>
      <c r="AG16" s="92"/>
      <c r="AJ16" s="6"/>
      <c r="AK16" s="92"/>
      <c r="AM16" s="6"/>
      <c r="AN16" s="95" t="s">
        <v>66</v>
      </c>
      <c r="AO16" s="16"/>
      <c r="AP16" s="6"/>
    </row>
    <row r="17">
      <c r="A17" s="50">
        <v>45983.0</v>
      </c>
      <c r="B17" s="50" t="s">
        <v>48</v>
      </c>
      <c r="C17" s="51" t="s">
        <v>60</v>
      </c>
      <c r="D17" s="52">
        <v>1017.0</v>
      </c>
      <c r="E17" s="53" t="s">
        <v>61</v>
      </c>
      <c r="F17" s="51" t="s">
        <v>67</v>
      </c>
      <c r="G17" s="54">
        <v>45973.0</v>
      </c>
      <c r="H17" s="55">
        <v>0.49386574074074074</v>
      </c>
      <c r="I17" s="53" t="s">
        <v>68</v>
      </c>
      <c r="J17" s="53" t="s">
        <v>69</v>
      </c>
      <c r="K17" s="56">
        <v>1.0</v>
      </c>
      <c r="L17" s="51">
        <v>1.0</v>
      </c>
      <c r="M17" s="57">
        <v>1.0</v>
      </c>
      <c r="N17" s="58">
        <v>1.0</v>
      </c>
      <c r="O17" s="56">
        <v>0.0</v>
      </c>
      <c r="P17" s="51">
        <v>1.0</v>
      </c>
      <c r="Q17" s="51">
        <v>1.0</v>
      </c>
      <c r="R17" s="51">
        <v>0.0</v>
      </c>
      <c r="S17" s="51">
        <v>1.0</v>
      </c>
      <c r="T17" s="56">
        <v>0.0</v>
      </c>
      <c r="U17" s="51">
        <v>0.0</v>
      </c>
      <c r="V17" s="51">
        <v>1.0</v>
      </c>
      <c r="W17" s="51">
        <v>1.0</v>
      </c>
      <c r="X17" s="51">
        <v>0.0</v>
      </c>
      <c r="Y17" s="51">
        <v>1.0</v>
      </c>
      <c r="Z17" s="51">
        <v>1.0</v>
      </c>
      <c r="AA17" s="51">
        <v>0.0</v>
      </c>
      <c r="AB17" s="59">
        <v>1.0</v>
      </c>
      <c r="AC17" s="51">
        <v>1.0</v>
      </c>
      <c r="AD17" s="51">
        <v>1.0</v>
      </c>
      <c r="AE17" s="51">
        <v>1.0</v>
      </c>
      <c r="AF17" s="58">
        <v>1.0</v>
      </c>
      <c r="AG17" s="60">
        <v>1.0</v>
      </c>
      <c r="AH17" s="61">
        <v>1.0</v>
      </c>
      <c r="AI17" s="61">
        <v>1.0</v>
      </c>
      <c r="AJ17" s="62">
        <v>1.0</v>
      </c>
      <c r="AK17" s="60">
        <v>1.0</v>
      </c>
      <c r="AL17" s="61">
        <v>1.0</v>
      </c>
      <c r="AM17" s="62">
        <v>1.0</v>
      </c>
      <c r="AN17" s="61">
        <v>1.0</v>
      </c>
      <c r="AO17" s="63" t="s">
        <v>54</v>
      </c>
      <c r="AP17" s="64">
        <f>(SUM(K17:AM17)*AN17)/29</f>
        <v>0.7931034483</v>
      </c>
    </row>
    <row r="18">
      <c r="A18" s="50">
        <v>45983.0</v>
      </c>
      <c r="B18" s="65"/>
      <c r="C18" s="51" t="s">
        <v>60</v>
      </c>
      <c r="D18" s="52">
        <v>1017.0</v>
      </c>
      <c r="E18" s="53" t="s">
        <v>61</v>
      </c>
      <c r="F18" s="51" t="s">
        <v>67</v>
      </c>
      <c r="G18" s="65"/>
      <c r="H18" s="66"/>
      <c r="I18" s="66"/>
      <c r="J18" s="66"/>
      <c r="K18" s="68"/>
      <c r="N18" s="6"/>
      <c r="O18" s="67" t="s">
        <v>70</v>
      </c>
      <c r="T18" s="67" t="s">
        <v>71</v>
      </c>
      <c r="AB18" s="69"/>
      <c r="AC18" s="70"/>
      <c r="AF18" s="6"/>
      <c r="AG18" s="71"/>
      <c r="AJ18" s="6"/>
      <c r="AK18" s="71"/>
      <c r="AM18" s="6"/>
      <c r="AN18" s="72"/>
      <c r="AO18" s="16"/>
      <c r="AP18" s="6"/>
    </row>
  </sheetData>
  <mergeCells count="70">
    <mergeCell ref="K14:N14"/>
    <mergeCell ref="O14:S14"/>
    <mergeCell ref="K18:N18"/>
    <mergeCell ref="O18:S18"/>
    <mergeCell ref="K4:N4"/>
    <mergeCell ref="O4:S4"/>
    <mergeCell ref="K6:N6"/>
    <mergeCell ref="O6:S6"/>
    <mergeCell ref="K8:N8"/>
    <mergeCell ref="O8:S8"/>
    <mergeCell ref="O10:S10"/>
    <mergeCell ref="AO17:AO18"/>
    <mergeCell ref="AP17:AP18"/>
    <mergeCell ref="AO5:AO6"/>
    <mergeCell ref="AO7:AO8"/>
    <mergeCell ref="AP7:AP8"/>
    <mergeCell ref="AO9:AO10"/>
    <mergeCell ref="AP9:AP10"/>
    <mergeCell ref="AO11:AO12"/>
    <mergeCell ref="AP11:AP12"/>
    <mergeCell ref="T1:AF1"/>
    <mergeCell ref="T2:AB2"/>
    <mergeCell ref="AC2:AF2"/>
    <mergeCell ref="K1:N2"/>
    <mergeCell ref="O1:S2"/>
    <mergeCell ref="AG1:AJ2"/>
    <mergeCell ref="AK1:AM2"/>
    <mergeCell ref="AN1:AN4"/>
    <mergeCell ref="AO1:AO3"/>
    <mergeCell ref="AP1:AP4"/>
    <mergeCell ref="T8:AA8"/>
    <mergeCell ref="AC8:AF8"/>
    <mergeCell ref="AG8:AJ8"/>
    <mergeCell ref="AK8:AM8"/>
    <mergeCell ref="T10:AA10"/>
    <mergeCell ref="AC10:AF10"/>
    <mergeCell ref="AG10:AJ10"/>
    <mergeCell ref="AK10:AM10"/>
    <mergeCell ref="T4:AF4"/>
    <mergeCell ref="AG4:AJ4"/>
    <mergeCell ref="AP5:AP6"/>
    <mergeCell ref="T6:AA6"/>
    <mergeCell ref="AC6:AF6"/>
    <mergeCell ref="AG6:AJ6"/>
    <mergeCell ref="AK6:AM6"/>
    <mergeCell ref="K10:N10"/>
    <mergeCell ref="K12:N12"/>
    <mergeCell ref="O12:S12"/>
    <mergeCell ref="T12:AA12"/>
    <mergeCell ref="AC12:AF12"/>
    <mergeCell ref="AG12:AJ12"/>
    <mergeCell ref="AK12:AM12"/>
    <mergeCell ref="AO13:AO14"/>
    <mergeCell ref="AP13:AP14"/>
    <mergeCell ref="T14:AA14"/>
    <mergeCell ref="AC14:AF14"/>
    <mergeCell ref="AG14:AJ14"/>
    <mergeCell ref="AK14:AM14"/>
    <mergeCell ref="T16:AA16"/>
    <mergeCell ref="T18:AA18"/>
    <mergeCell ref="AC18:AF18"/>
    <mergeCell ref="AG18:AJ18"/>
    <mergeCell ref="AK18:AM18"/>
    <mergeCell ref="AO15:AO16"/>
    <mergeCell ref="AP15:AP16"/>
    <mergeCell ref="K16:N16"/>
    <mergeCell ref="O16:S16"/>
    <mergeCell ref="AC16:AF16"/>
    <mergeCell ref="AG16:AJ16"/>
    <mergeCell ref="AK16:AM16"/>
  </mergeCells>
  <dataValidations>
    <dataValidation type="list" allowBlank="1" sqref="C5:C18">
      <formula1>"Maryam,Melika,Peyman,Erfan,Fatemeh,ghazal,Melika H,Afra,Mersede,Kimia,Elham,Anisa,Amin,Fatemeh T    ,Maral,Hanieh,mobina"</formula1>
    </dataValidation>
    <dataValidation type="list" allowBlank="1" sqref="F5:F18">
      <formula1>"Customer,Awaiting Payment,Csat,Fcr,Nps,cancellation,Closed,Lead,Order,voc,Ca,En,ATT"</formula1>
    </dataValidation>
    <dataValidation type="list" allowBlank="1" sqref="D5:D18">
      <formula1>"1171,1061,1090,1204,1047,1082,1194,1292,1053,1080,1095,1140,1098,1314,1076,1079,1185,1309,1075,1056,1058,1060,1067,1057,1059,1063,1084,1088,1089,1045,1152,1155,1094,1183,1135,1192,1065,1040,1032,1043,1031,1054,1069,1052,1034,1049,1062,1104,1111,1115,1123,"&amp;"1096,1128,1055,1136,1129,1151,1146,1304,1035,1159,1149,1147,1133,1074,1179,1196,1189,1039,1216,1119,1214,1224,1237,1044,1236,1253,1261,1252,1233,1262,1256,1232,1225,1228,1227,1259,1260,1291,1290,1165,1201,1207,1266,1150,1305,1157,1113,1070,1083,1132,1099,"&amp;"1109,1322,1320,1308,1306,1363,1247,1353,1357,1321,1299,1317,1324,1341,1230,1231,1368,1369,1378,1373,1015"</formula1>
    </dataValidation>
    <dataValidation type="list" allowBlank="1" sqref="E5:E18">
      <formula1>"Ali Jam,Kosar Golestan,Mahan Vahab,Mahdis Esfahani Asl,Maedeh Moradi Dehka,Fatemeh Zand,Melika Baqeri,Ghazale Kalami,Elham Fallah Pour,Hossein Hosseinzadeh,Mona Mohammadi Pour,Setayesh Aghvami Panah,Mohammad Mostafa Asadi,Fatemeh Takalo,Erfan Imeni,Sahar "&amp;"Habibi,Fariba Mirzaei,Soheyl Abdi,Fatemeh Akbari,Romina Mohammadi,Rozhan Gheysari,Fatemeh Godarz,Melika Bigdeli,Kian Hadadian,Sorosh Elahi,Maral Shadmanfar,Arian Arbani,Fereshteh Abolghasemi,Amin Khatibi,Mohammad Arshia Yaghobian,MohammadHossein shojaei,M"&amp;"ohammad Javad Moayedzadeh Rad,Ali Bakhshandeh,Alireza Rahmati,Mohammadreza Saadabad,Meraj Maleki,Ali Sadeghiyan,Mohammad Reza Rajabi,Mohammad Hossein Nemati,Masoomeh Alvari,Atena Palizi,Houman Habibzadeh,Yasaman Bitarafan,Farzad Ahmadi,Amirali Shahmir,Sah"&amp;"ra Khalesi,Zahra Kargozar,Majedeh Sofie,Amirmohammad Beyrami,Mohammad Nima Faghani,Niki Ahmadpour,Bita Yeganeh,Fatemeh Taheri,Paniz Rashidi,Ali Asadi,Soheil Mohammadzade,Fatemeh Godarzi,Tina Hassankhani,Reza Ghatea,Haniyeh eslami,Mobina Movaghar Nemati,Ho"&amp;"mayoon Gharedaghi,Maryam Arzegar,Kianosh Ghasemi,Parisa Norinezhad,Fatemeh Bakhtiarnia,Mahdiar Talkhablou,Bita Ghanbari,Fateme Rezakhosravi,Zahra Mazinani,Maedeh Ara,Pooneh lotfi,Maryam mir nezami,Zahra Pahlavan,Anita Golpor,Ayda Beyrami Nemati,Hesamodin "&amp;"Pourjamali,Pezhman Zehtabzade,Fatemeh Babazadeh,Zahra Bakhtiyarnia,Ahmadreza Mahmoudvand,Satyar Nematimajd,Zahra Sattarinejad,Anisa Mohebbi,MohammadHossein Alikahi,Mohammad Nazari,Amirhossein Tavkoli,Aria Hassani,NajmehSadat Miri,MohammadAmin Mirahmadi,Pa"&amp;"risa Alipanahi,MohammadReza Esmaili,Parisa Sasani,Zahra Hamdamali,Atena Piri,Erfan Esmail,Saba SadrArhami,Amir Mahdi Shakeri,Alireza Dodangeh,Mohammad Javad Soleimani,Alireza Jafari,Ava MashayekhiSardo,Zahra Yazdani,Mohammad JavadEshghi,Shakiba Mashhadi,Z"&amp;"ahra Yousefi,Atena Ahmadi,Hasti Lajli,Bahar Almasi Moghadam,Mohammadhassan Salmani,Arisa Eskandari,Nazanin zahra Farahani,Soroush Gorji,Mojammad sajjad Naghshine,Mohaddese Badr,Fatemeh Jahani,Heydarali Najafi,Amirreza Kazemi,Sahel Hasti,Amirmohammad Rashi"&amp;"di,Asal Masoumi,Amin Rahmatpour,Mohammadreza Eslami,Fatemeh Kaviani,Amirsam Babaei,Mohammad Mehdi Bahrami,Heidarali Najafi,Mohammad Hossein Faraji,Hamidreza Heydari,Sajjad Dadak,Amin Gholami,Sara Beiranvand,Samin Barzanooni,Amir Mahdi Moghadam,Mohammad Sa"&amp;"lar Kaman,Amirreza Rezaei,Ali Rajaeinia,Sheyda Nafisiniya,Amirmehdi Ahadzadeh,Mohadeseh Badr,Nasim Mirzaei"</formula1>
    </dataValidation>
    <dataValidation type="list" allowBlank="1" sqref="AO5 AO7 AO9 AO11 AO13 AO15 AO17">
      <formula1>"اعلام عدم پیگیری و همکاری,بدگویی از شرکت یا سایر همکاران,قطع مکالمه یا هلد کردن بدون هماهنگی و درحین مکالمه با مشتری,خوردن غذا یا خوراکی حین مکالمه,گذاشتن هدست حین صحبت با مشتری,پشیمان کردن مشتری از خرید,عدم حفظ احترام مشتری,استفاده از جملات ثابت حین مکال"&amp;"مه,اعلام موارد و ابعاد پنهان شرکت,دریافت مدارک (در صورتی که نیاز نباشد),هیچ کدام,عدم برقراری تماس"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6" t="s">
        <v>13</v>
      </c>
      <c r="B1" s="97" t="s">
        <v>12</v>
      </c>
      <c r="C1" s="96" t="s">
        <v>72</v>
      </c>
      <c r="D1" s="98" t="s">
        <v>73</v>
      </c>
      <c r="E1" s="96" t="s">
        <v>74</v>
      </c>
      <c r="F1" s="99" t="s">
        <v>10</v>
      </c>
      <c r="G1" s="99" t="s">
        <v>75</v>
      </c>
      <c r="H1" s="96" t="s">
        <v>76</v>
      </c>
      <c r="I1" s="96" t="s">
        <v>77</v>
      </c>
      <c r="J1" s="96" t="s">
        <v>78</v>
      </c>
      <c r="K1" s="96" t="s">
        <v>79</v>
      </c>
      <c r="L1" s="96" t="s">
        <v>80</v>
      </c>
      <c r="M1" s="96" t="s">
        <v>81</v>
      </c>
      <c r="N1" s="96" t="s">
        <v>82</v>
      </c>
      <c r="O1" s="96" t="s">
        <v>83</v>
      </c>
      <c r="P1" s="96" t="b">
        <v>1</v>
      </c>
      <c r="Q1" s="96" t="b">
        <v>0</v>
      </c>
    </row>
    <row r="2">
      <c r="A2" s="100" t="s">
        <v>84</v>
      </c>
      <c r="B2" s="100">
        <v>1156.0</v>
      </c>
      <c r="C2" s="100" t="s">
        <v>85</v>
      </c>
      <c r="D2" s="101" t="s">
        <v>86</v>
      </c>
      <c r="E2" s="100" t="s">
        <v>87</v>
      </c>
      <c r="F2" s="102" t="s">
        <v>88</v>
      </c>
      <c r="G2" s="102" t="s">
        <v>89</v>
      </c>
      <c r="H2" s="100" t="s">
        <v>90</v>
      </c>
      <c r="I2" s="100" t="s">
        <v>91</v>
      </c>
      <c r="J2" s="100" t="s">
        <v>92</v>
      </c>
      <c r="K2" s="100" t="s">
        <v>93</v>
      </c>
      <c r="L2" s="100" t="s">
        <v>94</v>
      </c>
      <c r="M2" s="100" t="b">
        <v>0</v>
      </c>
      <c r="N2" s="100" t="s">
        <v>95</v>
      </c>
      <c r="O2" s="100" t="b">
        <v>1</v>
      </c>
      <c r="P2" s="100" t="b">
        <v>1</v>
      </c>
      <c r="Q2" s="100" t="b">
        <v>0</v>
      </c>
    </row>
    <row r="3">
      <c r="A3" s="103" t="s">
        <v>96</v>
      </c>
      <c r="B3" s="103">
        <v>1319.0</v>
      </c>
      <c r="C3" s="103" t="s">
        <v>97</v>
      </c>
      <c r="D3" s="104" t="s">
        <v>86</v>
      </c>
      <c r="E3" s="103" t="s">
        <v>87</v>
      </c>
      <c r="F3" s="105" t="s">
        <v>88</v>
      </c>
      <c r="G3" s="105" t="s">
        <v>89</v>
      </c>
      <c r="H3" s="103" t="s">
        <v>90</v>
      </c>
      <c r="I3" s="103" t="s">
        <v>91</v>
      </c>
      <c r="J3" s="103" t="s">
        <v>92</v>
      </c>
      <c r="K3" s="103" t="s">
        <v>93</v>
      </c>
      <c r="L3" s="103" t="s">
        <v>98</v>
      </c>
      <c r="M3" s="103" t="b">
        <v>0</v>
      </c>
      <c r="N3" s="103" t="s">
        <v>99</v>
      </c>
      <c r="O3" s="103" t="b">
        <v>1</v>
      </c>
      <c r="P3" s="103" t="b">
        <v>0</v>
      </c>
      <c r="Q3" s="103" t="b">
        <v>1</v>
      </c>
    </row>
    <row r="4">
      <c r="A4" s="100" t="s">
        <v>100</v>
      </c>
      <c r="B4" s="100">
        <v>1186.0</v>
      </c>
      <c r="C4" s="100" t="s">
        <v>101</v>
      </c>
      <c r="D4" s="101" t="s">
        <v>102</v>
      </c>
      <c r="E4" s="100" t="s">
        <v>103</v>
      </c>
      <c r="F4" s="102" t="s">
        <v>88</v>
      </c>
      <c r="G4" s="102" t="s">
        <v>104</v>
      </c>
      <c r="H4" s="100" t="s">
        <v>90</v>
      </c>
      <c r="I4" s="100" t="s">
        <v>105</v>
      </c>
      <c r="J4" s="100" t="s">
        <v>92</v>
      </c>
      <c r="K4" s="100" t="s">
        <v>93</v>
      </c>
      <c r="L4" s="100" t="s">
        <v>106</v>
      </c>
      <c r="M4" s="100" t="b">
        <v>0</v>
      </c>
      <c r="N4" s="100" t="s">
        <v>107</v>
      </c>
      <c r="O4" s="100" t="b">
        <v>1</v>
      </c>
      <c r="P4" s="100" t="b">
        <v>1</v>
      </c>
      <c r="Q4" s="100" t="b">
        <v>0</v>
      </c>
    </row>
    <row r="5">
      <c r="A5" s="103" t="s">
        <v>108</v>
      </c>
      <c r="B5" s="103">
        <v>1394.0</v>
      </c>
      <c r="C5" s="103" t="s">
        <v>97</v>
      </c>
      <c r="D5" s="104" t="s">
        <v>109</v>
      </c>
      <c r="E5" s="103" t="s">
        <v>87</v>
      </c>
      <c r="F5" s="105" t="s">
        <v>88</v>
      </c>
      <c r="G5" s="105" t="s">
        <v>110</v>
      </c>
      <c r="H5" s="103" t="s">
        <v>90</v>
      </c>
      <c r="I5" s="103" t="s">
        <v>105</v>
      </c>
      <c r="J5" s="103" t="s">
        <v>111</v>
      </c>
      <c r="K5" s="103" t="s">
        <v>93</v>
      </c>
      <c r="L5" s="103" t="s">
        <v>112</v>
      </c>
      <c r="M5" s="103" t="b">
        <v>0</v>
      </c>
      <c r="N5" s="106"/>
      <c r="O5" s="103" t="b">
        <v>0</v>
      </c>
      <c r="P5" s="103" t="b">
        <v>1</v>
      </c>
      <c r="Q5" s="103" t="b">
        <v>0</v>
      </c>
    </row>
    <row r="6">
      <c r="A6" s="100" t="s">
        <v>113</v>
      </c>
      <c r="B6" s="100">
        <v>1067.0</v>
      </c>
      <c r="C6" s="100" t="s">
        <v>101</v>
      </c>
      <c r="D6" s="101" t="s">
        <v>114</v>
      </c>
      <c r="E6" s="100" t="s">
        <v>103</v>
      </c>
      <c r="F6" s="102" t="s">
        <v>88</v>
      </c>
      <c r="G6" s="102" t="s">
        <v>88</v>
      </c>
      <c r="H6" s="100" t="s">
        <v>90</v>
      </c>
      <c r="I6" s="100" t="s">
        <v>105</v>
      </c>
      <c r="J6" s="100" t="s">
        <v>92</v>
      </c>
      <c r="K6" s="100" t="s">
        <v>93</v>
      </c>
      <c r="L6" s="100" t="s">
        <v>115</v>
      </c>
      <c r="M6" s="100" t="b">
        <v>0</v>
      </c>
      <c r="N6" s="100" t="s">
        <v>116</v>
      </c>
      <c r="O6" s="100" t="b">
        <v>1</v>
      </c>
      <c r="P6" s="100" t="b">
        <v>1</v>
      </c>
      <c r="Q6" s="100" t="b">
        <v>0</v>
      </c>
    </row>
    <row r="7">
      <c r="A7" s="103" t="s">
        <v>117</v>
      </c>
      <c r="B7" s="103">
        <v>1347.0</v>
      </c>
      <c r="C7" s="103" t="s">
        <v>101</v>
      </c>
      <c r="D7" s="104" t="s">
        <v>118</v>
      </c>
      <c r="E7" s="103" t="s">
        <v>103</v>
      </c>
      <c r="F7" s="105" t="s">
        <v>88</v>
      </c>
      <c r="G7" s="105" t="s">
        <v>110</v>
      </c>
      <c r="H7" s="103" t="s">
        <v>90</v>
      </c>
      <c r="I7" s="103" t="s">
        <v>105</v>
      </c>
      <c r="J7" s="103" t="s">
        <v>92</v>
      </c>
      <c r="K7" s="103" t="s">
        <v>93</v>
      </c>
      <c r="L7" s="103" t="s">
        <v>119</v>
      </c>
      <c r="M7" s="103" t="b">
        <v>1</v>
      </c>
      <c r="N7" s="103" t="s">
        <v>120</v>
      </c>
      <c r="O7" s="103" t="b">
        <v>1</v>
      </c>
      <c r="P7" s="103" t="b">
        <v>1</v>
      </c>
      <c r="Q7" s="103" t="b">
        <v>0</v>
      </c>
    </row>
    <row r="8">
      <c r="A8" s="100" t="s">
        <v>121</v>
      </c>
      <c r="B8" s="100">
        <v>1382.0</v>
      </c>
      <c r="C8" s="100" t="s">
        <v>85</v>
      </c>
      <c r="D8" s="101" t="s">
        <v>122</v>
      </c>
      <c r="E8" s="100" t="s">
        <v>87</v>
      </c>
      <c r="F8" s="102" t="s">
        <v>88</v>
      </c>
      <c r="G8" s="102" t="s">
        <v>104</v>
      </c>
      <c r="H8" s="100" t="s">
        <v>90</v>
      </c>
      <c r="I8" s="100" t="s">
        <v>91</v>
      </c>
      <c r="J8" s="100" t="s">
        <v>92</v>
      </c>
      <c r="K8" s="100" t="s">
        <v>93</v>
      </c>
      <c r="L8" s="100" t="s">
        <v>123</v>
      </c>
      <c r="M8" s="100" t="b">
        <v>0</v>
      </c>
      <c r="N8" s="107"/>
      <c r="O8" s="100" t="b">
        <v>0</v>
      </c>
      <c r="P8" s="100" t="b">
        <v>1</v>
      </c>
      <c r="Q8" s="100" t="b">
        <v>0</v>
      </c>
    </row>
    <row r="9">
      <c r="A9" s="103" t="s">
        <v>124</v>
      </c>
      <c r="B9" s="103">
        <v>1257.0</v>
      </c>
      <c r="C9" s="103" t="s">
        <v>85</v>
      </c>
      <c r="D9" s="104" t="s">
        <v>125</v>
      </c>
      <c r="E9" s="103" t="s">
        <v>87</v>
      </c>
      <c r="F9" s="105" t="s">
        <v>88</v>
      </c>
      <c r="G9" s="105" t="s">
        <v>104</v>
      </c>
      <c r="H9" s="103" t="s">
        <v>90</v>
      </c>
      <c r="I9" s="103" t="s">
        <v>126</v>
      </c>
      <c r="J9" s="103" t="s">
        <v>92</v>
      </c>
      <c r="K9" s="103" t="s">
        <v>93</v>
      </c>
      <c r="L9" s="103" t="s">
        <v>127</v>
      </c>
      <c r="M9" s="103" t="b">
        <v>0</v>
      </c>
      <c r="N9" s="106"/>
      <c r="O9" s="103" t="b">
        <v>0</v>
      </c>
      <c r="P9" s="103" t="b">
        <v>1</v>
      </c>
      <c r="Q9" s="103" t="b">
        <v>0</v>
      </c>
    </row>
    <row r="10">
      <c r="A10" s="100" t="s">
        <v>128</v>
      </c>
      <c r="B10" s="107"/>
      <c r="C10" s="100" t="s">
        <v>85</v>
      </c>
      <c r="D10" s="101" t="s">
        <v>129</v>
      </c>
      <c r="E10" s="100" t="s">
        <v>87</v>
      </c>
      <c r="F10" s="102" t="s">
        <v>88</v>
      </c>
      <c r="G10" s="102" t="s">
        <v>110</v>
      </c>
      <c r="H10" s="100" t="s">
        <v>90</v>
      </c>
      <c r="I10" s="100" t="s">
        <v>126</v>
      </c>
      <c r="J10" s="100" t="s">
        <v>92</v>
      </c>
      <c r="K10" s="100" t="s">
        <v>93</v>
      </c>
      <c r="L10" s="100" t="s">
        <v>126</v>
      </c>
      <c r="M10" s="100" t="b">
        <v>0</v>
      </c>
      <c r="N10" s="100" t="s">
        <v>130</v>
      </c>
      <c r="O10" s="100" t="b">
        <v>1</v>
      </c>
      <c r="P10" s="100" t="b">
        <v>1</v>
      </c>
      <c r="Q10" s="100" t="b">
        <v>0</v>
      </c>
    </row>
  </sheetData>
  <dataValidations>
    <dataValidation type="list" allowBlank="1" sqref="J2:J10">
      <formula1>"ثالث,بدنه,مسافرتی,آتش سوزی مسکونی,آتش سوزی تجاری,مسئولیت پزشکان,آسانسور,کار با پنل,درمان تکمیلی,آتش سوزی اصناف,کرونا,حوادث انفرادی,عمر,سایر,موبایل,عمر و سرمایه گذاری,مستمری پیشامد,مسافرتی داخلی ,زائرین کربلا,مسافرین ورودی,مسئولیت مدیران ساختمان,بدنه موتور"&amp;"سیکلت,بیمه مسئولیت حرفه ای مهندسین,مسئولیت سایر,موبایل آنلاین,بیمه کارفرما در قبال کارکنان, بیمه خانه"</formula1>
    </dataValidation>
    <dataValidation type="list" allowBlank="1" sqref="B2:B10">
      <formula1>"1220,1167,1101,1125,1235,1147,1138,1227,1190,1228,1184,1160,1130,1155,1204,1264,1250,1260,1195,1144,1267,1182,1154,1158,1217,1115,1183,1293,1119,1232,1297,1151,1166,1285,1142,1218,1141,1292,1210,1189,1106,1103,1196,1269,1163,1128,1237,1197,1132,1188,1173,"&amp;"1145,1140,1192,1455,1117,1276,1153,1179,1206,1181,1129,1111,1187,1120,1239,1278,1161,1253,1205,1274,1105,1102,1110,1180,1244,1226,1277,1131,1268,1194,1177,1199,1104,1273,1240,1143,1159,1186,1156,1191,1921,1126,1270,1123,1207,1171,1230,1914,1918,1137,1256,"&amp;"1271,1113,1170,1280,1234,1136,1287,1164,1247,1290,1432,1149,1148,1135,1202,1713,1261,1201,1922,1423,1122,1454,1185,1124,1221,1224,1233,1801,1127,1108,1109,1146,1272,1107,1152,1225,1169,1198,1168,1298,1222,1172,1174,1178,1252,1209,1245,1203,1299,1238,1242,"&amp;"1246,1283,1282,1214,1241,1275,1284,1919,1249,1265,1208,1052,1055,1061,1054,1294,1291,1051,1060,1057,1068,1050,1257,1075,1067,1080,1083,1053,1076,1065,1082,1078,1056,1920,1066,1134,1079,1081,1094,1093,1092,1095,1074,1087,1090,1073,1039,1038,1040,1044,1085,"&amp;"1036,1091,1041,1045,1047,1925,1775,1028,1034,1029,1097,1035,1032,1031,1099,1098,1062,1049,1043,1165,1311,1302,1304,1314,1301,1312,1307,1303,1410,1412,1254,1213,1309,1315,1318,1259,1310,1308,1316,1317,1157,4005,1133,1910,1069,1059,1058,1088,1084,1063,1089,"&amp;"1096,1150,1243,1176,1211,1216,1231,1223,1236,1262,1281,1266,1288,1938,1289,1295,1939,1305,1279,1942,1936,1940,1263,1941,1219,1070,1322,1306,1313,1321,6004,1320,1319,1328,1327,1323,1337,1330,1329,1339,1335,1926,1326,1338,1332,1324,1336,1334,1333,1331,1340,"&amp;"1353,1352,1362,1344,1367,1350,1357,1358,1346,1370,1354,1346,1363,1345,1360,1378,1390,1375,1325,1355,1349,1369,1018,1386,1395,1022,1380,1017,1366,1387,1371,1118,1347,1407,1012,1368,1389,1024,1391,1011,1402,1421,1015,1414,1401,1409,1434,1382,1384,1359,1398,"&amp;"1021,1025,1396,1400,1364,1476,1411,1361,1397,1388,1474,1379,1383,1506,1486,1365,1394,1413,1026,1435,1020,1405,1424,1428,1418,1438"</formula1>
    </dataValidation>
    <dataValidation type="list" allowBlank="1" sqref="E2:E10">
      <formula1>"High,Medium,Low,تابو,taboo+"</formula1>
    </dataValidation>
    <dataValidation type="list" allowBlank="1" showDropDown="1" showErrorMessage="1" sqref="A2:A10">
      <formula1>"Arvin Ghahremani Rad,Leili Mirzayi,Fateme Mesbah,Mina Oliaie,Leila Shekar Saraei,Mohamad Gholami,Nilofar Khani,Ali Amanolahi,kosar Golestan,farimah shekarsarayi,sogol delkhani,Mojgan Sepehr Taj,Sadaf Shabpare,Mohamad Amin Mahdian far,Mohamad Reza Faraji,F"&amp;"atemeh Satarpour,Shadab Bavarsad,Ghazale Hashemi,Neda Barkhor,rozhan chavoshini,mahsa zakeri,Faraz Ansari,shirin shir ali zadeh,Nastaran Kazemi,Nafise Por hatami,ghazale barzi ghamsari,Ali Mahyari,Mehrdad Arandan,saeideh alamdari,Farzan Parsa Vazin,Setare"&amp;"h Zolfaqari,Mohammadreza Saadabad,fatemeh barnaji Kermanshahi ,Hanieh Dosti,parastoo zakeri,maede eghbali,amirreza espid,Morvarid Taghdar,Zohre Mortazavi,sara barghamadi,Elham Razmi,meraj maleki,amirali esmaeilnezhad,Sadaf Hosseini,Fatemeh Bina,Saba Esfan"&amp;"diari,zahra bagheri,Ghazale Kalami,zahra zand,bahar akbari ,amir nasrolahi,sara afshar,ali daryayi,mahdie abolfathi,Behrad Bolandi,Alireza Ramezani,vida omidi,Mohammad Javad Moayedzadeh Rad,Hosein Ghafari, Kasra Shams ,Mahya Mousavi,Maryam Bagheri,Fateme "&amp;"Jafari,Zahra faraji,maede bagheri,Omid Jabari,Ghazal Salehi,Ali Sadeghian ,Amir Hashemian,Niloofar Ghazrubi,Hanie Rezayi,Hannane Shafeifar,Fateme Keshavarz,mohsen sefidgar,Zahra Jamee,Ali Saburi,Fatemeh Alimoradi,Maede Moradi,Erfan Fazeli,Maryam Vafaei,Am"&amp;"in shoolipour,Mahan Vahab,Masoud Rahimi,Atena Khosravi,Parisa Beyrami,Mani Naghshband,Hanieh Gholipour Siahroudi,Amir Hassan Farzan,Ali Nikouy,Elham Fallah Pour,Mona Mohammadi Pour,Hossein Hosseinzade,Sahar Habibi,Mohammad Reza Rajabi,Melika Bagheri,Paria"&amp;" Naderi,Fariba Mirzaei,Amirhossein Mohamadiyani,Kimia Mehrani,Mohammad Amin Shahabi,Setayesh Aghvami Panah,Saeede Davari,Mohadeseh Masoumi Zadeh,Mahdis Esfahani,Fateme Torkashvand,Ali Karimi,Mohammad Hossein Nemati,Mehrnoosh Hatami,hosein moradi,Ayda Agha"&amp;"khani,Mahan Mohabati,Sara Daneshi,Fatemeh Zand,Hanieh Hayati,Mehrdad Delshad,Houman Habibzadeh,Masoomeh Alvari,Ali Bakhshandeh,Fateme Takalo,Amir Mohammad Hashemzadeh,Atena Palizi,Misagh Bagheri,Reza Rezvani,Roshanak Shirgir,Alireza Siadati,Soheyl Abdi,Re"&amp;"yhaneh Khosravi,Homayoon Gharedaghi,Mehdi Alizade,Hadi Soltani,Erfan Imeni,Alireza Rahmati,Fatemeh Akbari,Saba Khodabande,Mohammadhossein Bozorg,Amirali Esmaeilnezhad,Fatemeh Agharazi,Amir Eisaei,Samira Bahrami,Zahra Fatollahi,Amirali Shahmir,Majedeh Sofi"&amp;"e,Zahra Kargozar,sorosh elahi,Parmida Hashemi,Romina Mohammadi,Farzad Ahmadi,Kian Hadadian,Yasaman Bitarafan,Maral Shademanfar,Fatemeh Godarz,Nazanin Alimanesh,Mohammad Malekani,Amin Khatibi,Sonia Anari,Masoumeh karami,Mohammad Nima Faghani,Fereshteh Abol"&amp;"ghasemi,Niki Ahmadpour,Arian Arbani,Mohammad Arshia Yaghobian,MohammadHossein shojaei,Amirmohammad Beyrami,Fateme Taheri,bita yegane,Arshan Kamranshahi,Soheil Sepahi,Hannane Nazari,Paniz Rashidi,ali asadi,Soheil Mohammadzade,Tina Hasankhani,Reza Ghatea,Mo"&amp;"hammadreza Moradinoor,Fateme Godarzi,Mobina Movaghar Nemati,Haniyeh eslami,Rozhan Nobahari,Alireza Eslamipanah,Amin Khosravi,Alireza Babaei,Vahid Alipour,amin hoshyar,Hessam Abdolahzade,ali jam,Kianosh Ghasemi,Fateme Rezakhosravi,Bita Ghanbari,Fatemeh Bak"&amp;"htiarnia,Mahdiar Talkhablou,Parisa Norinezhad,Maryam Arzegar,zahra mazinani,Mohammad Hossein Javadzade,Mehdi Ghasemi,Melika Hashemi,Mohammad Mostafa Asadi,Siavash rostaei,Abolfazl Ghaderi,Amirhosein Azizmohammadi,hannaneh marzban,Arash Mokarami,Maryam mir"&amp;" nezami,Pooneh lotfi,Mobina Abolhassani,Salar Mohammadi,Zahra Kimia,Sepehr Ganj Bakhsh,Fateme Moradi,Ensie Sharifi,Danial haji aliani,Anita Golpor,Pezhman Zehtabzade,Hessamodin Pourjamali,Zahra Pahlavan,Ayda Beyrami Nemati,Samin Barzanooni,Parisa Najafi,M"&amp;"ilad Heydari,Sara Beirami,Ahmadreza Mahmoudvand,Fatemeh Babazadeh,Taranom Nayeri,Satyar Nematimajd,Zahra Sattarinejad,Parisa Alipanahi,Ahmadreza Shabanali Fami,Samin Soltani,Mohammad Nazari,Parisa Sasani,Anisa Mohebi,MohammadReza Esmaili,Mehdi Modaberipan"&amp;"ah,Zahra Bakhtiyarnia,Kimia Soltani,Hadise Naghdi,MohammadHossein Alikahi,MohammadAmin Mirahmadi,NajmehSadat Miri,Sara Beyranvand,Mehrab Ahangar,Aria Hassani,Matin Movaghar Nemati,Parsa Nanakar,mohammadjavad soleimani,Amir Mahdi Shakeri,Marzieh Saremian,A"&amp;"mirhossein Tavakoli,Pooya Shojaei,MohammadReza Akhlaghi,Mostafa Ahmadi,Abolfazl Sirousi,Alireza Hallaji,Sara Ranjbar,Sepehr Seif,Atena Hasani,Mohammad Amin Faghani,Alireza Dodange,Neda Shamsi,Kiana Yousefi,alireza keramat,zahra hamdam ali,Abolfazl Ghobadi"&amp;"nejad,Mahdie Almasi,Atena Piri,Fateme Fathi Alishah,Ava MashayekhiSardo,Zahra Yazdani,Mohammadjavad Eshghi,Maryam Altafi,Amirhossein Mirsharifi,Hadise Mohammad Najar,Amirmahdi Jafarkhah,Roghayeh Mahmoudi,Mahyar Banibayrami,atena zamani,sobhan korki,tahere"&amp;"h mirzaee,Alireza Jafari,Saba SadrArhami,elahe imani ,Erfan Esmail,Mohammad Ajurlu,Padideh HoviyatTalab,Hamidreza Bakhtiyarnia,Tahere Asghari,Atefe Khosravi,Zahra Chaharlang,Zahra Mirzaei,Nazanin Asghari,Younes Mirzaei,Hananeh Ghasemnezhad,Fateme Farokhba"&amp;"l,Saeed Asgari,Zahra Yousefi,Hasti Lajli,Arezoo Ghasemzadeh,Bahar Almasi Moghadam,Parsa Abdi,Azar Zamannejad,Mohammad Hassan Salmani,Nazanin Zahra Yorqani Farahani,Hessam Bayati,Atena Ahmadi,Soroush Gorji,Forouzan Abdollahi,Fatemeh Jahani,Hasti Pourhaji,M"&amp;"ehdi Borojerdian,Hossein Moradi,Mahdis Afard,Mahya Khalegh Verdi,Maedeh Pourbabayi,Fatemeh Moghadasi,Hesam Bayati,Maziyar Etaati,Kian Sepahian,Mehdi Ghani Abadi,Shakiba Mashhadi,Arisa Eskandari,Sahel Hasti,Mohadeseh Abotalebi,Shaghayegh Yeganeh,Amir Mehdi"&amp;" Mostafavi,Alireza Taghavi Azar,Nilofar Bayat,Abolfazl Eyvazi,Setayesh Eskandari,Mohammadreza Raeisi,Mohadeseh Badr,Navid Moradzadeh,Mohammad Mehdi Ghasemi,Ali Torabi,Mohammad Mehdi Bahrami,Amirreza Kazemi,Saghar Pour Baghban,Danial Davami,Fatemeh Farokhb"&amp;"al,Azita Ghiyasi,Reza Ghorbani,Saba Godarzi,Aynaz Fekri Aval,Mobina Abolhasani,Mahdis Afard,Morteza Zafari,Parisa Esfandiari,Zahra Fatollahi,Soheil Asgari,Fateme Abdolvand,Asal Masoumi,Nima Hassanzadeh,Heidarali Najafi,Abolfazl Minaei,Alireza Mirzaei,Seye"&amp;"d Mohammad Hossein Atyabi,Zahra Ghorbani,Narges Ansari,Maral Hoori,Mahsa Shams,Farid Pourmohammad,Yasaman Kefayati,Sara Mansouri,Fatemeh Imani,Sajjad Dadak,Mohammad Hossein Faraji,Mohammad Kianiha,Matin Ebrahim,Mehrdad Mir,Mohammad Amini,Sanaz Ramezani,Am"&amp;"irsam Babaei,Mohammadreza Eslami,Ali Safarnia,Asal Mobasheri,arefeh rozbahan,Armita Abdollahi,Amirmehdi Ahadzadeh,Mahshid Ghasemnejad,Fatemeh Raeisi,Kiana Hosseini,Minu Ghafourian,Hamidreza Heydari,Fatemeh Gholami,بحران کدپستی,Fatemeh Kaviani,Hossein Bark"&amp;"hordari,Nasim Mirzaei,Amin Rahmatpour,Amirmohammad Rashidi,Samin Ghaderi,Mohaddeseh Darabi,Helia Alimi,armirreza rezaei,Amirreza Rezaei,Dorsa Kheiri,Atiye Saghafi,Maedeh Goudarzi,Amin Gholami,Sana Allahyari,Abolfazl Azizi,Elnaz Ranjbar Fallah,Fatemeh Ghol"&amp;"amRezaei,Mohammad Salar Kaman,Melina Varmeziar,Mehdi Khatiri,Adnan Omidvar,Ehsan Pouran Soroush,Naghme Dorrani,Sajad Rajabi,Amirhossein Pourchi,Farvardin Fallahfar,Amir Mohammad Ahmadi,Fatemeh Biadaran,Zohreh Hizaji,Fatemeh Mehdi Zadeh,Narges Khodayari,Fa"&amp;"temeh FathiAlishah,Setayesh Ghazanfar,Amirali Teimouri,MohammadFoad Hashemi,Fatemeh Mahmoudi,Mohsen Safaie,Amir Mahdi Moghadam,Kiana Amiri,Armita Shahbazi,Ali Asghar Ghadimi,Zohreh Alikhani,Fatemeh Mohammadi,Masoumeh Karbalaei,Mostafa Khalaji,Mohammad Jav"&amp;"ad Soleimani,Meysam Ahmadi,Elham Haji Nasiri,Amir Mohammad Gholipor,Sepehr Masoudi,Sadra Alamdari,Maria Khakzad,Zohreh Dargahi,Mohammad Reza Arabi,Abolfazl Alinezhad,Fatemeh Bidaran,Sheyda Nafisiniya,Saman Bahmani,Atena Zamani,Hasti Bayati Azad,Reza Khosh"&amp;"khooyi,Sara Shahsavari,Sogol Salimipour,Omid Fatemi,Saba Gholinia,Fatemeh Kamali,Amir Hossein Naderzad,Amirhossein Navabi,عدم پشتیبانی سفارش ها در بامداد,Farlan Fazli,Sajedeh Raeisi,Yasaman Hosseinpour,Ali Tafreshi,Amir Hossein Ghorbannia,Negin Shenakhteh"&amp;",Amir Mahdi Oraee,Amirali Ghandehari,Maedeh Ghaderzadeh,Amirsalar Nemati,Elena Rastegar,Amirhossein Moghaddam,Amanj Babakhani,Ali Dehghan Nayeri,Hanieh Lotfi,Amirreza Hezari Abkenari,Hasti Kangavari,Ehsan Shahbazi,Fatemeh Manshori,Zeinab Mirzaee,Marzieh J"&amp;"alilvand,Mahla Khodami,Nastaran Fardavan Khorasani,Negin Shahani,Sajjad Hemmati,Arian Bazdoodeh,Mehdi Shahheidari,Sara Babazadeh,Behnood Bolourchi,Amanj Babakhani,Mahtab Seyedi,Fatemeh Makouee ,Sara Razeghi,Hadiseh Hassani,Shahin Najafi,Maryam Ahmadi,Moha"&amp;"mmadamin Abbasy,Asal Pirbodaghi,Hossein Momenzadeh,Parisa Hosseinpour,Niloofar Mortazavi,Amirhossein Havil,Shahrzad Derakhshan,Amirhossein Sheykhani,Mohammad Hossein Azizi Nezhad,Mohaddeseh Jahani Ghavam"</formula1>
    </dataValidation>
    <dataValidation type="list" allowBlank="1" sqref="H2:H10">
      <formula1>"خرداد 1404,تیر 1404,مرداد 1404,شهریور 1404,مهر 1404,آبان 1404,آذر 1404,دی 1404,بهمن 1404,اسفند 1403,اردیبهشت 1404,فروردین 1404"</formula1>
    </dataValidation>
    <dataValidation type="list" allowBlank="1" sqref="C2:C10">
      <formula1>"tracking services day,tracking services night,call center day,call center night,CA day,CA night,midnight,inspection,logistics,insurance damage,azki seller,B2C,B2B,QA"</formula1>
    </dataValidation>
    <dataValidation type="custom" allowBlank="1" showDropDown="1" sqref="F2:G10">
      <formula1>OR(NOT(ISERROR(DATEVALUE(F2))), AND(ISNUMBER(F2), LEFT(CELL("format", F2))="D"))</formula1>
    </dataValidation>
    <dataValidation type="list" allowBlank="1" sqref="I2:I10">
      <formula1>"عدم ثبت توضیحات,اطلاعات بررسی نشده,عدم اطلاعات کافی,ثبت توضیحات نامشخص و گنگ,ارسال لینک پرداخت اشتباه,ارسال لینک بارگذاری مدارک اشتباه,پیگیری انجام نشده,سر رسید چک نشده,بدون تماس کامنت ثبت کردند,بازدید اشتباه یا ناقص,عدم تسلط به استعلام,داخلی ارسال نشده,ا"&amp;"شتباه در حال بررسی بدنه,عدم تسلط به پنل,باگ تکراری,عدم استعلام کد پستی,تکمیل اشتباه فرم ,عدم توجه به تسک ,کامنت تکراری,تگ اشتباه ,استعلام ع خ دریافت نشده,عدم دریافت زمان پیگیری بعدی از مشتری,نبود فایل آموزشی,اطلاع رسانی اشتباه ,نامشخص و یا اشتباه بودن رون"&amp;"د,توضیحات ناقص,مغایرت کامنت و پیگیری,عدم ثبت دلیل تماس,عدم انتخاب صحیح دلیل ابطال,(CX)عدم پیگیری صحیح تیکت,نارضایتی مشتری .NPS بررسی ,عدم آموزش کارشناس,(Follow up)عدم پیگیری صحیح تیکت,(inspection)عدم پیگیری صحیح تیکت,(logistics)عدم پیگیری صحیح تیکت,اپدیت "&amp;"کانفلوئنس,ثبت تیکت اشتباه ,بررسی تیکت مالی,باگ بررسی مجدد,دریافت مدارک اضافه,ایجاد سفارش اشتباه "</formula1>
    </dataValidation>
    <dataValidation type="list" allowBlank="1" sqref="K2:K10">
      <formula1>"Ticket,تگ منتظر پاسخ بیمیتو,تگ موارد دیگر ,دلایل ابطال ,عدم آموزش کارشناس,اوردر,متابیس,ثبت دلیل تماس"</formula1>
    </dataValidation>
  </dataValidations>
  <drawing r:id="rId1"/>
  <tableParts count="1">
    <tablePart r:id="rId3"/>
  </tableParts>
</worksheet>
</file>